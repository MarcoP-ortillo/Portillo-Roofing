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hase 0 - Fix First" sheetId="2" state="visible" r:id="rId4"/>
    <sheet name="Page Map" sheetId="3" state="visible" r:id="rId5"/>
    <sheet name="Site Skeleton" sheetId="4" state="visible" r:id="rId6"/>
    <sheet name="Services" sheetId="5" state="visible" r:id="rId7"/>
    <sheet name="Service Areas" sheetId="6" state="visible" r:id="rId8"/>
    <sheet name="Seed Keywords" sheetId="7" state="visible" r:id="rId9"/>
    <sheet name="Off-site Entity" sheetId="8" state="visible" r:id="rId10"/>
    <sheet name="AI Baseline" sheetId="9" state="visible" r:id="rId11"/>
    <sheet name="Council Log" sheetId="10" state="visible" r:id="rId12"/>
  </sheets>
  <definedNames>
    <definedName function="false" hidden="true" localSheetId="2" name="_xlnm._FilterDatabase" vbProcedure="false">'Page Map'!$A$1:$U$126</definedName>
    <definedName function="false" hidden="true" localSheetId="6" name="_xlnm._FilterDatabase" vbProcedure="false">'Seed Keywords'!$A$1:$H$257</definedName>
    <definedName function="false" hidden="true" localSheetId="4" name="_xlnm._FilterDatabase" vbProcedure="false">Services!$A$1:$I$35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Sum of Keyword Planner volume for seeds mapped to this path (and its #sections).</t>
        </r>
      </text>
    </comment>
  </commentList>
</comments>
</file>

<file path=xl/sharedStrings.xml><?xml version="1.0" encoding="utf-8"?>
<sst xmlns="http://schemas.openxmlformats.org/spreadsheetml/2006/main" count="3435" uniqueCount="1415">
  <si>
    <t xml:space="preserve">Portillo Roofing - Site Skeleton, Keyword &amp; Schema Map (v3, council-reviewed)</t>
  </si>
  <si>
    <t xml:space="preserve">2026-10-09 (v3.1: owner answers applied - founded 2025, 25+ yrs experience; testimonials not real; TXST = San Marcos). Reviewed by a 4-seat council (local SEO, AI search, owner economics, red team). Nothing on the website has been changed yet.</t>
  </si>
  <si>
    <t xml:space="preserve">Start here</t>
  </si>
  <si>
    <t xml:space="preserve">1. Phase 0 - Fix First: legal/accuracy problems on the LIVE site. These come before any new page.</t>
  </si>
  <si>
    <t xml:space="preserve">2. Off-site Entity: the work that drives map-pack and AI answers more than pages do.</t>
  </si>
  <si>
    <t xml:space="preserve">3. Page Map: the build list. Phase 1 = 25 pages (18 new, 7 existing reworked). Everything else is Planned, Section or Gated.</t>
  </si>
  <si>
    <t xml:space="preserve">4. Council Log: what each reviewer said and what was adopted or overridden.</t>
  </si>
  <si>
    <t xml:space="preserve">Legend</t>
  </si>
  <si>
    <t xml:space="preserve">Yellow fill = you confirm or fill in (Offered?, Proof on hand, Completed jobs per town, min job size, Keyword Planner numbers, AI baseline results).</t>
  </si>
  <si>
    <t xml:space="preserve">Status: Live = exists | Draft = content exists, page not built | Planned = build | Section = a block on its parent page, not its own URL | Gated = build ONLY once real proof exists.</t>
  </si>
  <si>
    <t xml:space="preserve">Phase: 1 = first build | 2 = next | 3 = only when earned.</t>
  </si>
  <si>
    <t xml:space="preserve">Proof on hand: Y / N / ?. A quoted or in-progress job is not proof.</t>
  </si>
  <si>
    <t xml:space="preserve">Rules this map follows</t>
  </si>
  <si>
    <t xml:space="preserve">One keyword cluster per page (checked automatically - no keyword is primary on one page and secondary on another).</t>
  </si>
  <si>
    <t xml:space="preserve">No /areas/austin/: home owns 'roofing contractor austin'; each roofing service page owns '&lt;service&gt; austin'.</t>
  </si>
  <si>
    <t xml:space="preserve">Town pages and Service x Town pages are gated on completed local jobs (Google scaled-content / doorway policies). Phase follows drive time from Dale.</t>
  </si>
  <si>
    <t xml:space="preserve">Non-roofing trades live as sections on /remodeling/ or /countertops/ and get promoted to their own page when proof + search volume justify it.</t>
  </si>
  <si>
    <t xml:space="preserve">Google stopped showing FAQ rich results in May 2026. FAQ text still matters (AI answers quote it); FAQ markup is optional.</t>
  </si>
  <si>
    <t xml:space="preserve">Meta descriptions are blank on purpose - write each by hand from the Copy column. Templated metas were removed (duplicate-content signal).</t>
  </si>
  <si>
    <t xml:space="preserve">Keyword Planner steps (about 15 min)</t>
  </si>
  <si>
    <t xml:space="preserve">ads.google.com &gt; Tools &gt; Keyword Planner &gt; 'Get search volume and forecasts' &gt; paste Seed Keywords column A &gt; Location: Austin-Round Rock-Georgetown metro (covers Travis, Williamson, Hays, Bastrop, Caldwell) &gt; last 12 months &gt; download CSV and send it back.</t>
  </si>
  <si>
    <t xml:space="preserve">Without ad spend you get ranges ('10-100'); I'll convert to midpoints. 'Near me' and 'best ...' terms track demand only - they're won through GBP/reviews.</t>
  </si>
  <si>
    <t xml:space="preserve">#</t>
  </si>
  <si>
    <t xml:space="preserve">Severity</t>
  </si>
  <si>
    <t xml:space="preserve">Fix</t>
  </si>
  <si>
    <t xml:space="preserve">Where</t>
  </si>
  <si>
    <t xml:space="preserve">Why / source</t>
  </si>
  <si>
    <t xml:space="preserve">Owner</t>
  </si>
  <si>
    <t xml:space="preserve">Done?</t>
  </si>
  <si>
    <t xml:space="preserve">Critical</t>
  </si>
  <si>
    <t xml:space="preserve">Remove competitor photos hotlinked through kimi-web-img.moonshot.cn and captioned as Portillo projects</t>
  </si>
  <si>
    <t xml:space="preserve">main: index.html:75,182,247,266,273,280; services.html:71,96,142,284; about.html:71,119; contact.html:69 (relaunch branch already removes them)</t>
  </si>
  <si>
    <t xml:space="preserve">Copyright + deceptive advertising; contradicts 'real project photos'.</t>
  </si>
  <si>
    <t xml:space="preserve">Claude (hotfix branch, your approval)</t>
  </si>
  <si>
    <t xml:space="preserve">Remove the three testimonials (Sarah Johnson, Mike Rodriguez, Jennifer Chen) - owner confirmed NOT real</t>
  </si>
  <si>
    <t xml:space="preserve">main: index.html ~300-336</t>
  </si>
  <si>
    <t xml:space="preserve">FTC 16 CFR 465 (fake reviews/testimonials), civil penalties per violation.</t>
  </si>
  <si>
    <t xml:space="preserve">Claude Code</t>
  </si>
  <si>
    <t xml:space="preserve">Rewrite insurance copy: 'work directly with your insurance company to ensure you get fair coverage' + 'Direct insurance billing'</t>
  </si>
  <si>
    <t xml:space="preserve">main services.html:254,260; relaunch services.html:319,325</t>
  </si>
  <si>
    <t xml:space="preserve">Tex. Ins. Code 4102.163: contractor may not act as or advertise as public adjuster; websites count as advertising (28 TAC 21.102).</t>
  </si>
  <si>
    <t xml:space="preserve">Claude drafts, Marco approves</t>
  </si>
  <si>
    <t xml:space="preserve">Add deductible notice to quote/contract template for insurance-funded jobs &gt;= $1,000</t>
  </si>
  <si>
    <t xml:space="preserve">quote system (generate_quote.js)</t>
  </si>
  <si>
    <t xml:space="preserve">Bus. &amp; Com. Code 27.02; illegal to waive/absorb deductible.</t>
  </si>
  <si>
    <t xml:space="preserve">Claude (quote system)</t>
  </si>
  <si>
    <t xml:space="preserve">High</t>
  </si>
  <si>
    <t xml:space="preserve">Use 'Founded 2025 - 25+ years of experience' everywhere; remove every '50+ years' and any '25+ years in business' wording (site, GBP, BBB, Yelp)</t>
  </si>
  <si>
    <t xml:space="preserve">relaunch index.html / about.html</t>
  </si>
  <si>
    <t xml:space="preserve">Owner confirmed: founded 2025, 25+ years experience. Conflicting facts get repeated by AI answers.</t>
  </si>
  <si>
    <t xml:space="preserve">Claude Code (site) / Marco (profiles)</t>
  </si>
  <si>
    <t xml:space="preserve">Remove or source '1000+ roofs', '5-star rating', 'Lifetime warranty', 'Licensed'</t>
  </si>
  <si>
    <t xml:space="preserve">relaunch index.html:100,104,170,262,366</t>
  </si>
  <si>
    <t xml:space="preserve">Texas has no state roofing license; unsourced numbers flow into schema/AI copy.</t>
  </si>
  <si>
    <t xml:space="preserve">Marco confirm -&gt; Claude</t>
  </si>
  <si>
    <t xml:space="preserve">Verify 'BBB Accredited' claim against live BBB profile</t>
  </si>
  <si>
    <t xml:space="preserve">relaunch index.html:308,320</t>
  </si>
  <si>
    <t xml:space="preserve">Claim must be true.</t>
  </si>
  <si>
    <t xml:space="preserve">Marco</t>
  </si>
  <si>
    <t xml:space="preserve">Merge relaunch branch (after the fixes above)</t>
  </si>
  <si>
    <t xml:space="preserve">feature/crew-portfolio-update</t>
  </si>
  <si>
    <t xml:space="preserve">Portfolio + cleaned pages are stuck unmerged since Aug 8.</t>
  </si>
  <si>
    <t xml:space="preserve">Marco approves PR</t>
  </si>
  <si>
    <t xml:space="preserve">Render project pages as static HTML (not from portfolio-data.js)</t>
  </si>
  <si>
    <t xml:space="preserve">portfolio.html / portfolio-data.js</t>
  </si>
  <si>
    <t xml:space="preserve">Most AI crawlers don't run JavaScript.</t>
  </si>
  <si>
    <t xml:space="preserve">Claude</t>
  </si>
  <si>
    <t xml:space="preserve">Set up Google Search Console + Bing Webmaster Tools; submit sitemap; IndexNow ping on Netlify deploy</t>
  </si>
  <si>
    <t xml:space="preserve">DNS / Netlify</t>
  </si>
  <si>
    <t xml:space="preserve">ChatGPT search leans on Bing's index; GSC needed to measure anything.</t>
  </si>
  <si>
    <t xml:space="preserve">Marco (accounts) + Claude (config)</t>
  </si>
  <si>
    <t xml:space="preserve">Medium</t>
  </si>
  <si>
    <t xml:space="preserve">robots.txt + sitemap.xml: allow Googlebot, Bingbot, OAI-SearchBot, ChatGPT-User, PerplexityBot</t>
  </si>
  <si>
    <t xml:space="preserve">repo root</t>
  </si>
  <si>
    <t xml:space="preserve">Allow search/answer crawlers; GPTBot / Google-Extended only govern training.</t>
  </si>
  <si>
    <t xml:space="preserve">Build check: fail deploy if output HTML contains '[', 'TODO' or 'placeholder'</t>
  </si>
  <si>
    <t xml:space="preserve">repo build script</t>
  </si>
  <si>
    <t xml:space="preserve">Stops placeholders like '[year]' shipping.</t>
  </si>
  <si>
    <t xml:space="preserve">Photo-consent line in quote template; builder OK before publishing GC jobs</t>
  </si>
  <si>
    <t xml:space="preserve">quote system</t>
  </si>
  <si>
    <t xml:space="preserve">Needed before project pages publish.</t>
  </si>
  <si>
    <t xml:space="preserve">Low</t>
  </si>
  <si>
    <t xml:space="preserve">noindex /thank-you/; 301 every old .html URL to its new folder URL</t>
  </si>
  <si>
    <t xml:space="preserve">_redirects</t>
  </si>
  <si>
    <t xml:space="preserve">Clean index; no broken links.</t>
  </si>
  <si>
    <t xml:space="preserve">ID</t>
  </si>
  <si>
    <t xml:space="preserve">Phase</t>
  </si>
  <si>
    <t xml:space="preserve">Status</t>
  </si>
  <si>
    <t xml:space="preserve">Surface</t>
  </si>
  <si>
    <t xml:space="preserve">Path</t>
  </si>
  <si>
    <t xml:space="preserve">Primary keyword (owns)</t>
  </si>
  <si>
    <t xml:space="preserve">Secondary keywords</t>
  </si>
  <si>
    <t xml:space="preserve">Intent</t>
  </si>
  <si>
    <t xml:space="preserve">Title tag (draft)</t>
  </si>
  <si>
    <t xml:space="preserve">Title len</t>
  </si>
  <si>
    <t xml:space="preserve">H1 / H2 (draft)</t>
  </si>
  <si>
    <t xml:space="preserve">Meta description (write by hand)</t>
  </si>
  <si>
    <t xml:space="preserve">Meta len</t>
  </si>
  <si>
    <t xml:space="preserve">Copy must include</t>
  </si>
  <si>
    <t xml:space="preserve">Schema (JSON-LD)</t>
  </si>
  <si>
    <t xml:space="preserve">Proof required before publishing</t>
  </si>
  <si>
    <t xml:space="preserve">Proof on hand?</t>
  </si>
  <si>
    <t xml:space="preserve">Index</t>
  </si>
  <si>
    <t xml:space="preserve">Feeds (internal links)</t>
  </si>
  <si>
    <t xml:space="preserve">Monthly searches</t>
  </si>
  <si>
    <t xml:space="preserve">Notes</t>
  </si>
  <si>
    <t xml:space="preserve">P001</t>
  </si>
  <si>
    <t xml:space="preserve">Live</t>
  </si>
  <si>
    <t xml:space="preserve">Home</t>
  </si>
  <si>
    <t xml:space="preserve">/</t>
  </si>
  <si>
    <t xml:space="preserve">roofing contractor austin</t>
  </si>
  <si>
    <t xml:space="preserve">roofing company austin; roofers austin tx; best roofing company austin</t>
  </si>
  <si>
    <t xml:space="preserve">Commercial</t>
  </si>
  <si>
    <t xml:space="preserve">Austin Roofing Contractor | Portillo Roofing</t>
  </si>
  <si>
    <t xml:space="preserve">Family-Owned Roofing Contractor for Austin &amp; Central Texas</t>
  </si>
  <si>
    <t xml:space="preserve">One location line used everywhere: 'Based in Dale, serving the Austin metro.' Facts line: 'Founded 2025 - 25+ years of roofing experience.' Never '25+ years in business' or '50+ years'. Real project photos only. No testimonials until real reviews exist.</t>
  </si>
  <si>
    <t xml:space="preserve">RoofingContractor + GeneralContractor (#org): foundingDate, address (Dale), telephone, areaServed [14 cities w/ Wikipedia sameAs], sameAs [GBP, BBB, Yelp, Facebook], hasOfferCatalog; WebSite</t>
  </si>
  <si>
    <t xml:space="preserve">Real photos; NAP; founding year (2025)</t>
  </si>
  <si>
    <t xml:space="preserve">?</t>
  </si>
  <si>
    <t xml:space="preserve">index</t>
  </si>
  <si>
    <t xml:space="preserve">All hubs, top roofing services, /projects/, /for-builders/</t>
  </si>
  <si>
    <t xml:space="preserve">'best roofing company austin' is won by GBP/reviews/listicles, not a page - kept as a secondary here only. Fix Phase 0 items before anything else.</t>
  </si>
  <si>
    <t xml:space="preserve">P002</t>
  </si>
  <si>
    <t xml:space="preserve">Static</t>
  </si>
  <si>
    <t xml:space="preserve">/about/</t>
  </si>
  <si>
    <t xml:space="preserve">family owned roofing company austin</t>
  </si>
  <si>
    <t xml:space="preserve">Navigational</t>
  </si>
  <si>
    <t xml:space="preserve">About Portillo Roofing - Family-Owned in Dale, TX</t>
  </si>
  <si>
    <t xml:space="preserve">A Family Roofing Business, Built on the Roof</t>
  </si>
  <si>
    <t xml:space="preserve">Founded 2025; 25+ years of hands-on roofing experience behind it (say whose); family history; crew (Arturo); real photos.</t>
  </si>
  <si>
    <t xml:space="preserve">AboutPage + Person (Marco Portillo, Marco Sr.)</t>
  </si>
  <si>
    <t xml:space="preserve">-</t>
  </si>
  <si>
    <t xml:space="preserve">Y</t>
  </si>
  <si>
    <t xml:space="preserve">/projects/, /contact/</t>
  </si>
  <si>
    <t xml:space="preserve">Live as about.html -&gt; 301 to /about/.</t>
  </si>
  <si>
    <t xml:space="preserve">P003</t>
  </si>
  <si>
    <t xml:space="preserve">/contact/</t>
  </si>
  <si>
    <t xml:space="preserve">portillo roofing contact</t>
  </si>
  <si>
    <t xml:space="preserve">Contact &amp; Free Roof Inspection | Portillo Roofing</t>
  </si>
  <si>
    <t xml:space="preserve">Request a Free Roof Inspection</t>
  </si>
  <si>
    <t xml:space="preserve">Phone (512) 629-1342, email, hours, service-area zones.</t>
  </si>
  <si>
    <t xml:space="preserve">ContactPage</t>
  </si>
  <si>
    <t xml:space="preserve">/areas/, /services/</t>
  </si>
  <si>
    <t xml:space="preserve">Live as contact.html -&gt; 301.</t>
  </si>
  <si>
    <t xml:space="preserve">P004</t>
  </si>
  <si>
    <t xml:space="preserve">Planned</t>
  </si>
  <si>
    <t xml:space="preserve">/for-builders/</t>
  </si>
  <si>
    <t xml:space="preserve">roofing subcontractor austin</t>
  </si>
  <si>
    <t xml:space="preserve">Roofing Subcontractor for Builders &amp; GCs | Portillo Roofing</t>
  </si>
  <si>
    <t xml:space="preserve">Roofing Subcontractor for Austin Builders &amp; GCs</t>
  </si>
  <si>
    <t xml:space="preserve">Capability sheet, not marketing: insurance (GL + workers' comp limits, COI on request); crew size + squares/week; lead time PO-&gt;start; systems (SnapLok, mechanical-lock, TPO, curved panels); references (Travis County, UT, TXST); supplier accounts / net terms / W-9 / lien waivers; one-field 'send plans for bid' form.</t>
  </si>
  <si>
    <t xml:space="preserve">Service + BreadcrumbList</t>
  </si>
  <si>
    <t xml:space="preserve">/services/new-construction-roofing/, /services/commercial-roofing/, /projects/</t>
  </si>
  <si>
    <t xml:space="preserve">Serves the GC/builder channel.</t>
  </si>
  <si>
    <t xml:space="preserve">P005</t>
  </si>
  <si>
    <t xml:space="preserve">/for-restoration/</t>
  </si>
  <si>
    <t xml:space="preserve">restoration roofing subcontractor austin</t>
  </si>
  <si>
    <t xml:space="preserve">Roofing Partner for Restoration Companies | Portillo Roofing</t>
  </si>
  <si>
    <t xml:space="preserve">Storm Overflow Roofing for Restoration Companies</t>
  </si>
  <si>
    <t xml:space="preserve">Overflow capacity; response time after a storm; estimate format (Xactimate only if true); photo documentation standard; willingness to work under their brand; insurance on file.</t>
  </si>
  <si>
    <t xml:space="preserve">/services/hail-damage-roof-repair/, /projects/</t>
  </si>
  <si>
    <t xml:space="preserve">NEW (council). Serves restoration/insurance overflow channel. Ship before March.</t>
  </si>
  <si>
    <t xml:space="preserve">P006</t>
  </si>
  <si>
    <t xml:space="preserve">Hub</t>
  </si>
  <si>
    <t xml:space="preserve">/services/</t>
  </si>
  <si>
    <t xml:space="preserve">roofing services austin</t>
  </si>
  <si>
    <t xml:space="preserve">Roofing Services in Austin, TX | Portillo Roofing</t>
  </si>
  <si>
    <t xml:space="preserve">Roofing Services</t>
  </si>
  <si>
    <t xml:space="preserve">1-paragraph intro naming what's in the section; card per child page with photo; no thin filler.</t>
  </si>
  <si>
    <t xml:space="preserve">CollectionPage + BreadcrumbList</t>
  </si>
  <si>
    <t xml:space="preserve">Every roofing service page</t>
  </si>
  <si>
    <t xml:space="preserve">Live as services.html -&gt; 301 to /services/. Becomes roofing-only hub (remodeling/countertops move out).</t>
  </si>
  <si>
    <t xml:space="preserve">P007</t>
  </si>
  <si>
    <t xml:space="preserve">Draft</t>
  </si>
  <si>
    <t xml:space="preserve">/projects/</t>
  </si>
  <si>
    <t xml:space="preserve">roofing projects austin</t>
  </si>
  <si>
    <t xml:space="preserve">Roofing Projects &amp; Portfolio | Portillo Roofing</t>
  </si>
  <si>
    <t xml:space="preserve">Our Work</t>
  </si>
  <si>
    <t xml:space="preserve">Every project page</t>
  </si>
  <si>
    <t xml:space="preserve">portfolio.html on relaunch branch; must render project pages as static HTML.</t>
  </si>
  <si>
    <t xml:space="preserve">P008</t>
  </si>
  <si>
    <t xml:space="preserve">Roofing service</t>
  </si>
  <si>
    <t xml:space="preserve">/services/roof-replacement/</t>
  </si>
  <si>
    <t xml:space="preserve">roof replacement austin</t>
  </si>
  <si>
    <t xml:space="preserve">reroof austin; roof replacement company austin; new roof austin</t>
  </si>
  <si>
    <t xml:space="preserve">Transactional</t>
  </si>
  <si>
    <t xml:space="preserve">Roof Replacement in Austin, TX | Portillo Roofing</t>
  </si>
  <si>
    <t xml:space="preserve">Roof Replacement in Austin &amp; Central Texas</t>
  </si>
  <si>
    <t xml:space="preserve">40-60 word direct answer up top; dated $/square range from YOUR jobs + what moves it; specs (panel profile, gauge, underlayment, impact rating); typical duration; permit office; 2+ captioned project photos; 5-8 FAQs unique to this page; last-updated date.</t>
  </si>
  <si>
    <t xml:space="preserve">Service (provider #org, areaServed) + BreadcrumbList; FAQPage optional (no rich result)</t>
  </si>
  <si>
    <t xml:space="preserve">Photos of this service + process + FAQs. Evidence: TXST Apartments (400 sq reroof)</t>
  </si>
  <si>
    <t xml:space="preserve">Live city pages; Projects: TXST Apartments; Guides: roof-replacement-cost-austin, how-long-does-a-roof-last-in-texas, roofing-permit-austin, how-to-choose-a-roofer-austin, roof-replacement-timeline</t>
  </si>
  <si>
    <t xml:space="preserve">Cost intent belongs to the cost guide - link to it, don't target it here.</t>
  </si>
  <si>
    <t xml:space="preserve">P009</t>
  </si>
  <si>
    <t xml:space="preserve">/services/roof-repair/</t>
  </si>
  <si>
    <t xml:space="preserve">roof repair austin</t>
  </si>
  <si>
    <t xml:space="preserve">roof leak repair austin; roof repair company austin</t>
  </si>
  <si>
    <t xml:space="preserve">Roof Repair in Austin, TX | Portillo Roofing</t>
  </si>
  <si>
    <t xml:space="preserve">Roof Repair in Austin &amp; Central Texas</t>
  </si>
  <si>
    <t xml:space="preserve">Photos of this service + process + FAQs. Evidence: Listed on current site - need repair job photos</t>
  </si>
  <si>
    <t xml:space="preserve">Live city pages</t>
  </si>
  <si>
    <t xml:space="preserve">Owns '&lt;service&gt; austin'; no /areas/austin/ page. Cross-link to ceiling/drywall repair section after leaks.</t>
  </si>
  <si>
    <t xml:space="preserve">P010</t>
  </si>
  <si>
    <t xml:space="preserve">/services/metal-roofing/</t>
  </si>
  <si>
    <t xml:space="preserve">metal roofing austin</t>
  </si>
  <si>
    <t xml:space="preserve">standing seam metal roof austin; metal roof contractor austin; custom metal fascia; curved standing seam panels</t>
  </si>
  <si>
    <t xml:space="preserve">Metal Roofing in Austin, TX | Portillo Roofing</t>
  </si>
  <si>
    <t xml:space="preserve">Standing Seam Metal Roofing in Austin &amp; Central Texas</t>
  </si>
  <si>
    <t xml:space="preserve">Photos of this service + process + FAQs. Evidence: Inwood, Shoalwood, Knollwood, Curved Ridges, Yuapon</t>
  </si>
  <si>
    <t xml:space="preserve">Live city pages; Projects: Inwood, Curved Ridges, Yuapon; Guides: metal-roof-cost-austin, metal-vs-shingle-roof-texas, standing-seam-vs-exposed-fastener</t>
  </si>
  <si>
    <t xml:space="preserve">Signature niche. Custom fabrication lives here as a section (see #custom-fabrication row).</t>
  </si>
  <si>
    <t xml:space="preserve">P011</t>
  </si>
  <si>
    <t xml:space="preserve">/services/flat-roofing/</t>
  </si>
  <si>
    <t xml:space="preserve">tpo roofing austin</t>
  </si>
  <si>
    <t xml:space="preserve">flat roof repair austin; flat roof replacement austin</t>
  </si>
  <si>
    <t xml:space="preserve">Flat &amp; TPO Roofing in Austin, TX | Portillo Roofing</t>
  </si>
  <si>
    <t xml:space="preserve">Flat &amp; TPO Roofing in Austin &amp; Central Texas</t>
  </si>
  <si>
    <t xml:space="preserve">Photos of this service + process + FAQs. Evidence: Mendez School (TPO), Knollwood</t>
  </si>
  <si>
    <t xml:space="preserve">Live city pages; Projects: Mendez School; Guides: tpo-vs-modified-bitumen</t>
  </si>
  <si>
    <t xml:space="preserve">Check Planner: if 'flat roof repair austin' outranks 'tpo roofing austin', swap primary.</t>
  </si>
  <si>
    <t xml:space="preserve">P012</t>
  </si>
  <si>
    <t xml:space="preserve">/services/commercial-roofing/</t>
  </si>
  <si>
    <t xml:space="preserve">commercial roofing austin</t>
  </si>
  <si>
    <t xml:space="preserve">commercial roofing contractor austin; commercial roof replacement austin; commercial tpo contractor</t>
  </si>
  <si>
    <t xml:space="preserve">Commercial Roofing in Austin, TX | Portillo Roofing</t>
  </si>
  <si>
    <t xml:space="preserve">Commercial Roofing in Austin &amp; Central Texas</t>
  </si>
  <si>
    <t xml:space="preserve">Photos of this service + process + FAQs. Evidence: Travis County Jail, Mendez School, TXST, UT Batter's Eye</t>
  </si>
  <si>
    <t xml:space="preserve">Live city pages; Projects: Travis County Jail, UT Austin Batter's Eye</t>
  </si>
  <si>
    <t xml:space="preserve">Council split: economics seat would merge with Flat/TPO. Kept separate (different buyer).</t>
  </si>
  <si>
    <t xml:space="preserve">P013</t>
  </si>
  <si>
    <t xml:space="preserve">/services/new-construction-roofing/</t>
  </si>
  <si>
    <t xml:space="preserve">new construction roofing austin</t>
  </si>
  <si>
    <t xml:space="preserve">builder roofing contractor austin; new home roofing austin</t>
  </si>
  <si>
    <t xml:space="preserve">New Construction Roofing in Austin, TX | Portillo Roofing</t>
  </si>
  <si>
    <t xml:space="preserve">New Construction Roofing in Austin &amp; Central Texas</t>
  </si>
  <si>
    <t xml:space="preserve">Photos of this service + process + FAQs. Evidence: Inwood, Shoalwood, Knollwood, Fiset</t>
  </si>
  <si>
    <t xml:space="preserve">Live city pages; Projects: Knollwood, Shoalwood, Fiset</t>
  </si>
  <si>
    <t xml:space="preserve">'roofing subcontractor austin' is owned by /for-builders/.</t>
  </si>
  <si>
    <t xml:space="preserve">P014</t>
  </si>
  <si>
    <t xml:space="preserve">/services/hail-damage-roof-repair/</t>
  </si>
  <si>
    <t xml:space="preserve">hail damage roof repair austin</t>
  </si>
  <si>
    <t xml:space="preserve">storm damage roof repair austin; hail damage roof inspection; wind damage roof repair; insurance roof inspection austin</t>
  </si>
  <si>
    <t xml:space="preserve">Hail &amp; Storm Damage Repair in Austin, TX | Portillo Roofing</t>
  </si>
  <si>
    <t xml:space="preserve">Hail &amp; Storm Damage Repair in Austin &amp; Central Texas</t>
  </si>
  <si>
    <t xml:space="preserve">COMPLIANCE (Ins. Code 4102.163; Bus. &amp; Com. Code 27.02): OK to say inspect, photograph, write a repair scope, meet the adjuster on site as the contractor. NEVER say negotiate, represent you, fair coverage, maximize your claim, direct insurance billing, or anything about covering/waiving the deductible. Include a plain statement that the homeowner pays their deductible. 40-60 word direct answer up top; dated $/square range from YOUR jobs + what moves it; specs (panel profile, gauge, underlayment, impact rating); typical duration; permit office; 2+ captioned project photos; 5-8 FAQs unique to this page; last-updated date.</t>
  </si>
  <si>
    <t xml:space="preserve">Photos of this service + process + FAQs. Evidence: Listed on current site - need storm job photos</t>
  </si>
  <si>
    <t xml:space="preserve">Live city pages; Guides: does-insurance-cover-hail-damage-texas, signs-of-hail-damage-on-roof</t>
  </si>
  <si>
    <t xml:space="preserve">Merged with old 'Roof Insurance Claim Help' page. COMPLIANCE: see Copy column. Ship before March (hail season).</t>
  </si>
  <si>
    <t xml:space="preserve">P015</t>
  </si>
  <si>
    <t xml:space="preserve">Section</t>
  </si>
  <si>
    <t xml:space="preserve">/services/metal-roofing/#custom-fabrication</t>
  </si>
  <si>
    <t xml:space="preserve">custom metal fascia austin</t>
  </si>
  <si>
    <t xml:space="preserve">curved standing seam roof; tapered metal fascia</t>
  </si>
  <si>
    <t xml:space="preserve">(section - uses parent page title)</t>
  </si>
  <si>
    <t xml:space="preserve">H2: Custom Metal Fascia &amp; Curved Panels</t>
  </si>
  <si>
    <t xml:space="preserve">Inside the parent page: H2 named for the service, 80-150 words, 2+ photos, price range or 'typical scope', link to contact. Promote to its own page when proof + volume justify it.</t>
  </si>
  <si>
    <t xml:space="preserve">None of its own - listed in parent page's Service / hasOfferCatalog</t>
  </si>
  <si>
    <t xml:space="preserve">Photos of this work. Evidence: Yuapon, Curved Ridges</t>
  </si>
  <si>
    <t xml:space="preserve">Parent: /services/metal-roofing/</t>
  </si>
  <si>
    <t xml:space="preserve">Category: Roofing.</t>
  </si>
  <si>
    <t xml:space="preserve">P016</t>
  </si>
  <si>
    <t xml:space="preserve">City</t>
  </si>
  <si>
    <t xml:space="preserve">/areas/dale/</t>
  </si>
  <si>
    <t xml:space="preserve">roofer dale</t>
  </si>
  <si>
    <t xml:space="preserve">roofing company dale; roofing contractor dale tx; roof repair dale</t>
  </si>
  <si>
    <t xml:space="preserve">Dale, TX Roofing Contractor | Portillo Roofing</t>
  </si>
  <si>
    <t xml:space="preserve">Roofing Contractor in Dale, TX</t>
  </si>
  <si>
    <t xml:space="preserve">Number of jobs completed in this town; 1+ project with photos; permit authority; housing stock / HOA notes; dated local hail events; what we take on in this zone; links to nearby towns. Never a find-and-replace of another town page.</t>
  </si>
  <si>
    <t xml:space="preserve">Service (provider #org, areaServed City) + BreadcrumbList. Never a separate business entity per town.</t>
  </si>
  <si>
    <t xml:space="preserve">&gt;=1 completed job in town with photos (2+ preferred)</t>
  </si>
  <si>
    <t xml:space="preserve">Roofing services; live Service x City pages for this town; projects here; 2 nearest towns</t>
  </si>
  <si>
    <t xml:space="preserve">Zone: South core (All services incl. add-ons). Home base - build first; still needs local job photos.</t>
  </si>
  <si>
    <t xml:space="preserve">P017</t>
  </si>
  <si>
    <t xml:space="preserve">/areas/san-marcos/</t>
  </si>
  <si>
    <t xml:space="preserve">roofer san marcos</t>
  </si>
  <si>
    <t xml:space="preserve">roofing company san marcos; roofing contractor san marcos tx; roof repair san marcos</t>
  </si>
  <si>
    <t xml:space="preserve">San Marcos, TX Roofing Contractor | Portillo Roofing</t>
  </si>
  <si>
    <t xml:space="preserve">Roofing Contractor in San Marcos, TX</t>
  </si>
  <si>
    <t xml:space="preserve">Zone: South core (All services incl. add-ons). TXST Apartments 400-sq reroof (owner confirmed San Marcos).</t>
  </si>
  <si>
    <t xml:space="preserve">P018</t>
  </si>
  <si>
    <t xml:space="preserve">Project</t>
  </si>
  <si>
    <t xml:space="preserve">/projects/travis-county-jail/</t>
  </si>
  <si>
    <t xml:space="preserve">curved metal roof &amp; steel frame project</t>
  </si>
  <si>
    <t xml:space="preserve">Proof</t>
  </si>
  <si>
    <t xml:space="preserve">Travis County Jail | Portillo Roofing</t>
  </si>
  <si>
    <t xml:space="preserve">Travis County Jail: Curved Metal Roof &amp; Steel Frame</t>
  </si>
  <si>
    <t xml:space="preserve">City, year, squares, system/materials, client type (GC / owner / public), duration, problem -&gt; fix, 6+ captioned photos, written photo consent. Must be static HTML (not loaded from portfolio-data.js).</t>
  </si>
  <si>
    <t xml:space="preserve">Article/CreativeWork (contentLocation, dateCreated, about -&gt; Service, image[]) + BreadcrumbList</t>
  </si>
  <si>
    <t xml:space="preserve">Photos + scope write-up (exists in portfolio-data.js) + photo consent</t>
  </si>
  <si>
    <t xml:space="preserve">/services/commercial-roofing/; town page for job location</t>
  </si>
  <si>
    <t xml:space="preserve">Need job town. GC jobs: get builder OK before publishing.</t>
  </si>
  <si>
    <t xml:space="preserve">P019</t>
  </si>
  <si>
    <t xml:space="preserve">/projects/ut-austin-batters-eye/</t>
  </si>
  <si>
    <t xml:space="preserve">removable metal panel system project</t>
  </si>
  <si>
    <t xml:space="preserve">UT Austin Batter's Eye | Portillo Roofing</t>
  </si>
  <si>
    <t xml:space="preserve">UT Austin Batter's Eye: Removable Metal Panel System</t>
  </si>
  <si>
    <t xml:space="preserve">P020</t>
  </si>
  <si>
    <t xml:space="preserve">/projects/inwood/</t>
  </si>
  <si>
    <t xml:space="preserve">standing seam metal roof project</t>
  </si>
  <si>
    <t xml:space="preserve">Inwood | Portillo Roofing</t>
  </si>
  <si>
    <t xml:space="preserve">Inwood: Standing Seam Metal Roof</t>
  </si>
  <si>
    <t xml:space="preserve">/services/metal-roofing/; town page for job location</t>
  </si>
  <si>
    <t xml:space="preserve">P021</t>
  </si>
  <si>
    <t xml:space="preserve">/projects/txst-apartments/</t>
  </si>
  <si>
    <t xml:space="preserve">400-square shingle reroof project</t>
  </si>
  <si>
    <t xml:space="preserve">TXST Apartments | Portillo Roofing</t>
  </si>
  <si>
    <t xml:space="preserve">TXST Apartments: 400-Square Shingle Reroof</t>
  </si>
  <si>
    <t xml:space="preserve">/services/roof-replacement/; town page for job location</t>
  </si>
  <si>
    <t xml:space="preserve">P022</t>
  </si>
  <si>
    <t xml:space="preserve">/projects/mendez-school/</t>
  </si>
  <si>
    <t xml:space="preserve">commercial tpo roof project</t>
  </si>
  <si>
    <t xml:space="preserve">Mendez School | Portillo Roofing</t>
  </si>
  <si>
    <t xml:space="preserve">Mendez School: Commercial TPO Roof</t>
  </si>
  <si>
    <t xml:space="preserve">/services/flat-roofing/; town page for job location</t>
  </si>
  <si>
    <t xml:space="preserve">P023</t>
  </si>
  <si>
    <t xml:space="preserve">Guide</t>
  </si>
  <si>
    <t xml:space="preserve">/guides/roof-replacement-cost-austin/</t>
  </si>
  <si>
    <t xml:space="preserve">roof replacement cost austin</t>
  </si>
  <si>
    <t xml:space="preserve">new roof cost austin; cost per square roofing austin</t>
  </si>
  <si>
    <t xml:space="preserve">Informational</t>
  </si>
  <si>
    <t xml:space="preserve">How Much Does a Roof Replacement Cost in Austin?</t>
  </si>
  <si>
    <t xml:space="preserve">Byline (Marco Portillo + credentials); direct answer first; your own numbers; cited sources; last-updated date.</t>
  </si>
  <si>
    <t xml:space="preserve">Article (author Person w/ sameAs, dateModified) + BreadcrumbList</t>
  </si>
  <si>
    <t xml:space="preserve">Your own numbers / photos; byline</t>
  </si>
  <si>
    <t xml:space="preserve">P024</t>
  </si>
  <si>
    <t xml:space="preserve">Utility</t>
  </si>
  <si>
    <t xml:space="preserve">/thank-you/</t>
  </si>
  <si>
    <t xml:space="preserve">Thank You | Portillo Roofing</t>
  </si>
  <si>
    <t xml:space="preserve">Thank You</t>
  </si>
  <si>
    <t xml:space="preserve">noindex</t>
  </si>
  <si>
    <t xml:space="preserve">Currently indexable - set noindex.</t>
  </si>
  <si>
    <t xml:space="preserve">P025</t>
  </si>
  <si>
    <t xml:space="preserve">/privacy-policy/</t>
  </si>
  <si>
    <t xml:space="preserve">Privacy Policy | Portillo Roofing</t>
  </si>
  <si>
    <t xml:space="preserve">Privacy Policy</t>
  </si>
  <si>
    <t xml:space="preserve">P026</t>
  </si>
  <si>
    <t xml:space="preserve">/terms-of-service/</t>
  </si>
  <si>
    <t xml:space="preserve">Terms of Service | Portillo Roofing</t>
  </si>
  <si>
    <t xml:space="preserve">Terms of Service</t>
  </si>
  <si>
    <t xml:space="preserve">P027</t>
  </si>
  <si>
    <t xml:space="preserve">/reviews/</t>
  </si>
  <si>
    <t xml:space="preserve">portillo roofing reviews</t>
  </si>
  <si>
    <t xml:space="preserve">Customer Reviews | Portillo Roofing</t>
  </si>
  <si>
    <t xml:space="preserve">What Our Customers Say</t>
  </si>
  <si>
    <t xml:space="preserve">Only real reviews with first name + town, linked to Google/BBB source. FTC 16 CFR 465 bans fake/AI testimonials.</t>
  </si>
  <si>
    <t xml:space="preserve">WebPage (no self-serving AggregateRating)</t>
  </si>
  <si>
    <t xml:space="preserve">Wait until 5+ real reviews.</t>
  </si>
  <si>
    <t xml:space="preserve">P028</t>
  </si>
  <si>
    <t xml:space="preserve">/remodeling/</t>
  </si>
  <si>
    <t xml:space="preserve">remodeling contractor austin</t>
  </si>
  <si>
    <t xml:space="preserve">Remodeling &amp; Home Services in Austin | Portillo Roofing</t>
  </si>
  <si>
    <t xml:space="preserve">Remodeling, Painting &amp; Exterior Services</t>
  </si>
  <si>
    <t xml:space="preserve">Remodeling pages + every section</t>
  </si>
  <si>
    <t xml:space="preserve">One hub holds remodeling, painting, coatings, tile, drywall and pressure washing as sections (council: no separate hubs).</t>
  </si>
  <si>
    <t xml:space="preserve">P029</t>
  </si>
  <si>
    <t xml:space="preserve">/countertops/</t>
  </si>
  <si>
    <t xml:space="preserve">custom countertops austin</t>
  </si>
  <si>
    <t xml:space="preserve">Custom Countertops in Austin, TX | Portillo Roofing</t>
  </si>
  <si>
    <t xml:space="preserve">Granite, Epoxy &amp; River Countertops</t>
  </si>
  <si>
    <t xml:space="preserve">Countertop sections</t>
  </si>
  <si>
    <t xml:space="preserve">Specialty line as ONE page with sections; split a section out only when it earns it.</t>
  </si>
  <si>
    <t xml:space="preserve">P030</t>
  </si>
  <si>
    <t xml:space="preserve">/areas/</t>
  </si>
  <si>
    <t xml:space="preserve">roofing service area central texas</t>
  </si>
  <si>
    <t xml:space="preserve">Service Areas - Central Texas | Portillo Roofing</t>
  </si>
  <si>
    <t xml:space="preserve">Where We Work</t>
  </si>
  <si>
    <t xml:space="preserve">Every live city page</t>
  </si>
  <si>
    <t xml:space="preserve">Lists all 14 towns with zones; links only to city pages that are live.</t>
  </si>
  <si>
    <t xml:space="preserve">P031</t>
  </si>
  <si>
    <t xml:space="preserve">/guides/</t>
  </si>
  <si>
    <t xml:space="preserve">roofing guides texas</t>
  </si>
  <si>
    <t xml:space="preserve">Roofing Guides &amp; Answers | Portillo Roofing</t>
  </si>
  <si>
    <t xml:space="preserve">Roofing Questions, Answered</t>
  </si>
  <si>
    <t xml:space="preserve">Every guide</t>
  </si>
  <si>
    <t xml:space="preserve">P032</t>
  </si>
  <si>
    <t xml:space="preserve">/services/shingle-roofing/</t>
  </si>
  <si>
    <t xml:space="preserve">shingle roofing austin</t>
  </si>
  <si>
    <t xml:space="preserve">asphalt shingle roof austin; architectural shingles austin; impact resistant shingles austin</t>
  </si>
  <si>
    <t xml:space="preserve">Shingle Roofing in Austin, TX | Portillo Roofing</t>
  </si>
  <si>
    <t xml:space="preserve">Shingle Roofing in Austin &amp; Central Texas</t>
  </si>
  <si>
    <t xml:space="preserve">Photos of this service + process + FAQs. Evidence: TXST Apartments</t>
  </si>
  <si>
    <t xml:space="preserve">P033</t>
  </si>
  <si>
    <t xml:space="preserve">/services/tile-roof-repair/</t>
  </si>
  <si>
    <t xml:space="preserve">tile roof repair austin</t>
  </si>
  <si>
    <t xml:space="preserve">clay tile roof repair austin; concrete tile roof repair</t>
  </si>
  <si>
    <t xml:space="preserve">Tile Roof Repair in Austin, TX | Portillo Roofing</t>
  </si>
  <si>
    <t xml:space="preserve">Tile Roof Repair in Austin &amp; Central Texas</t>
  </si>
  <si>
    <t xml:space="preserve">Photos of this service + process + FAQs. Evidence: Tile repair workflow (torch-down underlayment) - need photos</t>
  </si>
  <si>
    <t xml:space="preserve">Live city pages; Guides: tile-roof-repair-vs-replacement</t>
  </si>
  <si>
    <t xml:space="preserve">Underlayment-cost question is owned by the tile guide.</t>
  </si>
  <si>
    <t xml:space="preserve">P034</t>
  </si>
  <si>
    <t xml:space="preserve">/services/roof-inspection/</t>
  </si>
  <si>
    <t xml:space="preserve">roof inspection austin</t>
  </si>
  <si>
    <t xml:space="preserve">free roof inspection austin; roof inspection for home sale</t>
  </si>
  <si>
    <t xml:space="preserve">Roof Inspection in Austin, TX | Portillo Roofing</t>
  </si>
  <si>
    <t xml:space="preserve">Roof Inspection in Austin &amp; Central Texas</t>
  </si>
  <si>
    <t xml:space="preserve">Photos of this service + process + FAQs. Evidence: Listed on current site</t>
  </si>
  <si>
    <t xml:space="preserve">P035</t>
  </si>
  <si>
    <t xml:space="preserve">/services/roof-coating/</t>
  </si>
  <si>
    <t xml:space="preserve">roof coating austin</t>
  </si>
  <si>
    <t xml:space="preserve">silicone roof coating austin; elastomeric roof coating; flat roof coating austin</t>
  </si>
  <si>
    <t xml:space="preserve">Roof Coating in Austin, TX | Portillo Roofing</t>
  </si>
  <si>
    <t xml:space="preserve">Silicone &amp; Elastomeric Roof Coating in Austin &amp; Central Texas</t>
  </si>
  <si>
    <t xml:space="preserve">Photos of this service + process + FAQs. Evidence: Owner listed 'coating' - CONFIRM roof coatings specifically</t>
  </si>
  <si>
    <t xml:space="preserve">Offered? CONFIRM. </t>
  </si>
  <si>
    <t xml:space="preserve">P036</t>
  </si>
  <si>
    <t xml:space="preserve">Gated</t>
  </si>
  <si>
    <t xml:space="preserve">Trade service</t>
  </si>
  <si>
    <t xml:space="preserve">/remodeling/home-renovation/</t>
  </si>
  <si>
    <t xml:space="preserve">home renovation austin</t>
  </si>
  <si>
    <t xml:space="preserve">whole house remodel austin; interior renovation contractor austin</t>
  </si>
  <si>
    <t xml:space="preserve">Whole-Home Interior Renovation in Austin, TX</t>
  </si>
  <si>
    <t xml:space="preserve">Whole-Home Interior Renovation in Austin</t>
  </si>
  <si>
    <t xml:space="preserve">Direct answer up top; price range from your jobs; 4+ before/after photos; scope steps; how it pairs with roofing/remodel; FAQs unique to this page; last-updated date.</t>
  </si>
  <si>
    <t xml:space="preserve">Service (provider #org, areaServed) + BreadcrumbList</t>
  </si>
  <si>
    <t xml:space="preserve">Finished job + before/after photos. Evidence: Villa Park (in progress), Dodd (quoted) - not proof until complete</t>
  </si>
  <si>
    <t xml:space="preserve">N</t>
  </si>
  <si>
    <t xml:space="preserve">/remodeling/; related projects</t>
  </si>
  <si>
    <t xml:space="preserve">Category: Remodeling.</t>
  </si>
  <si>
    <t xml:space="preserve">P037</t>
  </si>
  <si>
    <t xml:space="preserve">/remodeling/patio-covers/</t>
  </si>
  <si>
    <t xml:space="preserve">patio cover builder austin</t>
  </si>
  <si>
    <t xml:space="preserve">covered patio addition austin; patio roof austin</t>
  </si>
  <si>
    <t xml:space="preserve">Patio Covers in Austin, TX | Portillo Roofing</t>
  </si>
  <si>
    <t xml:space="preserve">Patio Covers &amp; Additions in Austin</t>
  </si>
  <si>
    <t xml:space="preserve">Finished job + before/after photos. Evidence: Huntridge (quoted) - not proof until complete</t>
  </si>
  <si>
    <t xml:space="preserve">P038</t>
  </si>
  <si>
    <t xml:space="preserve">/remodeling/epoxy-flooring/</t>
  </si>
  <si>
    <t xml:space="preserve">epoxy flooring austin</t>
  </si>
  <si>
    <t xml:space="preserve">garage floor coating austin; epoxy garage floor austin; polyaspartic floor coating</t>
  </si>
  <si>
    <t xml:space="preserve">Epoxy Floor in Austin, TX | Portillo Roofing</t>
  </si>
  <si>
    <t xml:space="preserve">Epoxy Floor &amp; Garage Coatings in Austin</t>
  </si>
  <si>
    <t xml:space="preserve">Finished job + before/after photos. Evidence: On relaunch branch - need finished-floor photos</t>
  </si>
  <si>
    <t xml:space="preserve">P039</t>
  </si>
  <si>
    <t xml:space="preserve">/remodeling/#kitchen</t>
  </si>
  <si>
    <t xml:space="preserve">kitchen remodel austin</t>
  </si>
  <si>
    <t xml:space="preserve">kitchen remodeling contractor austin</t>
  </si>
  <si>
    <t xml:space="preserve">H2: Kitchen Remodeling</t>
  </si>
  <si>
    <t xml:space="preserve">Photos of this work. Evidence: Dissected from whole-home work</t>
  </si>
  <si>
    <t xml:space="preserve">Parent: /remodeling/</t>
  </si>
  <si>
    <t xml:space="preserve">P040</t>
  </si>
  <si>
    <t xml:space="preserve">/remodeling/#bathroom</t>
  </si>
  <si>
    <t xml:space="preserve">bathroom remodel austin</t>
  </si>
  <si>
    <t xml:space="preserve">shower remodel austin</t>
  </si>
  <si>
    <t xml:space="preserve">H2: Bathroom Remodeling</t>
  </si>
  <si>
    <t xml:space="preserve">P041</t>
  </si>
  <si>
    <t xml:space="preserve">/remodeling/#drywall-ceiling</t>
  </si>
  <si>
    <t xml:space="preserve">drywall repair austin</t>
  </si>
  <si>
    <t xml:space="preserve">ceiling repair austin; water damage drywall repair austin</t>
  </si>
  <si>
    <t xml:space="preserve">H2: Drywall &amp; Ceiling Repair</t>
  </si>
  <si>
    <t xml:space="preserve">Photos of this work. Evidence: Ceiling repair scopes; pairs with leak repairs</t>
  </si>
  <si>
    <t xml:space="preserve">P042</t>
  </si>
  <si>
    <t xml:space="preserve">/remodeling/#tile</t>
  </si>
  <si>
    <t xml:space="preserve">tile installation austin</t>
  </si>
  <si>
    <t xml:space="preserve">bathroom tile installer austin; backsplash installation austin</t>
  </si>
  <si>
    <t xml:space="preserve">H2: Tile Installation</t>
  </si>
  <si>
    <t xml:space="preserve">Photos of this work. Evidence: Pool waterline tile; quote system covers tile</t>
  </si>
  <si>
    <t xml:space="preserve">P043</t>
  </si>
  <si>
    <t xml:space="preserve">/remodeling/#interior-painting</t>
  </si>
  <si>
    <t xml:space="preserve">interior painting austin</t>
  </si>
  <si>
    <t xml:space="preserve">interior painters austin</t>
  </si>
  <si>
    <t xml:space="preserve">H2: Interior Painting</t>
  </si>
  <si>
    <t xml:space="preserve">Photos of this work. Evidence: Owner confirmed painting</t>
  </si>
  <si>
    <t xml:space="preserve">P044</t>
  </si>
  <si>
    <t xml:space="preserve">/remodeling/#exterior-painting</t>
  </si>
  <si>
    <t xml:space="preserve">exterior painting austin</t>
  </si>
  <si>
    <t xml:space="preserve">exterior house painters austin; house painters austin</t>
  </si>
  <si>
    <t xml:space="preserve">H2: Exterior Painting</t>
  </si>
  <si>
    <t xml:space="preserve">P045</t>
  </si>
  <si>
    <t xml:space="preserve">/remodeling/#pressure-washing</t>
  </si>
  <si>
    <t xml:space="preserve">house washing austin</t>
  </si>
  <si>
    <t xml:space="preserve">soft wash house austin</t>
  </si>
  <si>
    <t xml:space="preserve">H2: House Soft Washing</t>
  </si>
  <si>
    <t xml:space="preserve">Photos of this work. Evidence: Owner confirmed power washing - low ticket, add-on</t>
  </si>
  <si>
    <t xml:space="preserve">P046</t>
  </si>
  <si>
    <t xml:space="preserve">/remodeling/#concrete-cleaning</t>
  </si>
  <si>
    <t xml:space="preserve">driveway cleaning austin</t>
  </si>
  <si>
    <t xml:space="preserve">concrete cleaning austin; patio pressure washing austin</t>
  </si>
  <si>
    <t xml:space="preserve">H2: Driveway &amp; Concrete Cleaning</t>
  </si>
  <si>
    <t xml:space="preserve">P047</t>
  </si>
  <si>
    <t xml:space="preserve">/countertops/#granite</t>
  </si>
  <si>
    <t xml:space="preserve">granite countertops austin</t>
  </si>
  <si>
    <t xml:space="preserve">granite countertop installation austin</t>
  </si>
  <si>
    <t xml:space="preserve">H2: Granite Countertops</t>
  </si>
  <si>
    <t xml:space="preserve">Photos of this work. Evidence: On relaunch branch</t>
  </si>
  <si>
    <t xml:space="preserve">Parent: /countertops/</t>
  </si>
  <si>
    <t xml:space="preserve">Category: Countertops.</t>
  </si>
  <si>
    <t xml:space="preserve">P048</t>
  </si>
  <si>
    <t xml:space="preserve">/countertops/#epoxy-river</t>
  </si>
  <si>
    <t xml:space="preserve">epoxy countertops austin</t>
  </si>
  <si>
    <t xml:space="preserve">river table countertop; live edge epoxy countertop austin</t>
  </si>
  <si>
    <t xml:space="preserve">H2: Epoxy &amp; River Countertops</t>
  </si>
  <si>
    <t xml:space="preserve">Photos of this work. Evidence: On relaunch branch + photos</t>
  </si>
  <si>
    <t xml:space="preserve">P049</t>
  </si>
  <si>
    <t xml:space="preserve">/areas/lockhart/</t>
  </si>
  <si>
    <t xml:space="preserve">roofer lockhart</t>
  </si>
  <si>
    <t xml:space="preserve">roofing company lockhart; roofing contractor lockhart tx; roof repair lockhart</t>
  </si>
  <si>
    <t xml:space="preserve">Lockhart, TX Roofing Contractor | Portillo Roofing</t>
  </si>
  <si>
    <t xml:space="preserve">Roofing Contractor in Lockhart, TX</t>
  </si>
  <si>
    <t xml:space="preserve">Zone: South core (All services incl. add-ons). </t>
  </si>
  <si>
    <t xml:space="preserve">P050</t>
  </si>
  <si>
    <t xml:space="preserve">/areas/bastrop/</t>
  </si>
  <si>
    <t xml:space="preserve">roofer bastrop</t>
  </si>
  <si>
    <t xml:space="preserve">roofing company bastrop; roofing contractor bastrop tx; roof repair bastrop</t>
  </si>
  <si>
    <t xml:space="preserve">Bastrop, TX Roofing Contractor | Portillo Roofing</t>
  </si>
  <si>
    <t xml:space="preserve">Roofing Contractor in Bastrop, TX</t>
  </si>
  <si>
    <t xml:space="preserve">Zone: South core (All services incl. add-ons). Dodd job is quoted, not complete - not proof yet.</t>
  </si>
  <si>
    <t xml:space="preserve">P051</t>
  </si>
  <si>
    <t xml:space="preserve">/areas/kyle/</t>
  </si>
  <si>
    <t xml:space="preserve">roofer kyle</t>
  </si>
  <si>
    <t xml:space="preserve">roofing company kyle; roofing contractor kyle tx; roof repair kyle</t>
  </si>
  <si>
    <t xml:space="preserve">Kyle, TX Roofing Contractor | Portillo Roofing</t>
  </si>
  <si>
    <t xml:space="preserve">Roofing Contractor in Kyle, TX</t>
  </si>
  <si>
    <t xml:space="preserve">P052</t>
  </si>
  <si>
    <t xml:space="preserve">/areas/buda/</t>
  </si>
  <si>
    <t xml:space="preserve">roofer buda</t>
  </si>
  <si>
    <t xml:space="preserve">roofing company buda; roofing contractor buda tx; roof repair buda</t>
  </si>
  <si>
    <t xml:space="preserve">Buda, TX Roofing Contractor | Portillo Roofing</t>
  </si>
  <si>
    <t xml:space="preserve">Roofing Contractor in Buda, TX</t>
  </si>
  <si>
    <t xml:space="preserve">P053</t>
  </si>
  <si>
    <t xml:space="preserve">/projects/curved-ridges/</t>
  </si>
  <si>
    <t xml:space="preserve">curved standing seam panels project</t>
  </si>
  <si>
    <t xml:space="preserve">Curved Ridges | Portillo Roofing</t>
  </si>
  <si>
    <t xml:space="preserve">Curved Ridges: Curved Standing Seam Panels</t>
  </si>
  <si>
    <t xml:space="preserve">P054</t>
  </si>
  <si>
    <t xml:space="preserve">/projects/yuapon/</t>
  </si>
  <si>
    <t xml:space="preserve">tapered metal fascia project</t>
  </si>
  <si>
    <t xml:space="preserve">Yuapon | Portillo Roofing</t>
  </si>
  <si>
    <t xml:space="preserve">Yuapon: Tapered Metal Fascia</t>
  </si>
  <si>
    <t xml:space="preserve">P055</t>
  </si>
  <si>
    <t xml:space="preserve">/projects/knollwood/</t>
  </si>
  <si>
    <t xml:space="preserve">metal &amp; tpo new build project</t>
  </si>
  <si>
    <t xml:space="preserve">Knollwood | Portillo Roofing</t>
  </si>
  <si>
    <t xml:space="preserve">Knollwood: Metal &amp; TPO New Build</t>
  </si>
  <si>
    <t xml:space="preserve">/services/new-construction-roofing/; town page for job location</t>
  </si>
  <si>
    <t xml:space="preserve">P056</t>
  </si>
  <si>
    <t xml:space="preserve">/projects/shoalwood/</t>
  </si>
  <si>
    <t xml:space="preserve">snaplok standing seam project</t>
  </si>
  <si>
    <t xml:space="preserve">Shoalwood | Portillo Roofing</t>
  </si>
  <si>
    <t xml:space="preserve">Shoalwood: SnapLok Standing Seam</t>
  </si>
  <si>
    <t xml:space="preserve">P057</t>
  </si>
  <si>
    <t xml:space="preserve">/guides/metal-roof-cost-austin/</t>
  </si>
  <si>
    <t xml:space="preserve">metal roof cost austin</t>
  </si>
  <si>
    <t xml:space="preserve">standing seam metal roof cost per square foot texas</t>
  </si>
  <si>
    <t xml:space="preserve">Standing Seam Metal Roof Cost in Austin</t>
  </si>
  <si>
    <t xml:space="preserve">P058</t>
  </si>
  <si>
    <t xml:space="preserve">/guides/metal-vs-shingle-roof-texas/</t>
  </si>
  <si>
    <t xml:space="preserve">metal vs shingle roof texas</t>
  </si>
  <si>
    <t xml:space="preserve">is a metal roof worth it in texas; best roof for texas heat</t>
  </si>
  <si>
    <t xml:space="preserve">Metal vs. Shingle Roofs in Central Texas Heat</t>
  </si>
  <si>
    <t xml:space="preserve">P059</t>
  </si>
  <si>
    <t xml:space="preserve">/guides/does-insurance-cover-hail-damage-texas/</t>
  </si>
  <si>
    <t xml:space="preserve">does insurance cover hail damage roof texas</t>
  </si>
  <si>
    <t xml:space="preserve">hail damage roof claim process texas</t>
  </si>
  <si>
    <t xml:space="preserve">Does Homeowners Insurance Cover Hail Damage in Texas?</t>
  </si>
  <si>
    <t xml:space="preserve">Byline (Marco Portillo + credentials); direct answer first; your own numbers; cited sources; last-updated date. Informational only - no offer to handle or negotiate claims.</t>
  </si>
  <si>
    <t xml:space="preserve">P060</t>
  </si>
  <si>
    <t xml:space="preserve">/guides/signs-of-hail-damage-on-roof/</t>
  </si>
  <si>
    <t xml:space="preserve">signs of hail damage on roof</t>
  </si>
  <si>
    <t xml:space="preserve">what does hail damage look like on shingles; hail damage metal roof</t>
  </si>
  <si>
    <t xml:space="preserve">Signs of Hail Damage on Your Roof (With Photos)</t>
  </si>
  <si>
    <t xml:space="preserve">P061</t>
  </si>
  <si>
    <t xml:space="preserve">/guides/how-long-does-a-roof-last-in-texas/</t>
  </si>
  <si>
    <t xml:space="preserve">how long does a roof last in texas</t>
  </si>
  <si>
    <t xml:space="preserve">shingle roof lifespan texas; metal roof lifespan</t>
  </si>
  <si>
    <t xml:space="preserve">How Long Does a Roof Last in Texas?</t>
  </si>
  <si>
    <t xml:space="preserve">P062</t>
  </si>
  <si>
    <t xml:space="preserve">Service x City</t>
  </si>
  <si>
    <t xml:space="preserve">/areas/san-marcos/roof-replacement/</t>
  </si>
  <si>
    <t xml:space="preserve">roof replacement san marcos</t>
  </si>
  <si>
    <t xml:space="preserve">roof replacement san marcos tx</t>
  </si>
  <si>
    <t xml:space="preserve">Roof Replacement in San Marcos, TX | Portillo Roofing</t>
  </si>
  <si>
    <t xml:space="preserve">Roof Replacement in San Marcos, TX</t>
  </si>
  <si>
    <t xml:space="preserve">A completed job of THIS service in THIS town with photos + town-specific detail. If you can't write that, don't build the page.</t>
  </si>
  <si>
    <t xml:space="preserve">Service (provider #org, areaServed City) + BreadcrumbList</t>
  </si>
  <si>
    <t xml:space="preserve">Completed job of this service in this town with photos</t>
  </si>
  <si>
    <t xml:space="preserve">/areas/san-marcos/, /services/roof-replacement/, matching project</t>
  </si>
  <si>
    <t xml:space="preserve">Un-gated: TXST Apartments reroof is in San Marcos.</t>
  </si>
  <si>
    <t xml:space="preserve">P063</t>
  </si>
  <si>
    <t xml:space="preserve">/services/gutters/</t>
  </si>
  <si>
    <t xml:space="preserve">gutter installation austin</t>
  </si>
  <si>
    <t xml:space="preserve">seamless gutters austin; gutter replacement austin</t>
  </si>
  <si>
    <t xml:space="preserve">Gutter Installation in Austin, TX | Portillo Roofing</t>
  </si>
  <si>
    <t xml:space="preserve">Gutters in Austin &amp; Central Texas</t>
  </si>
  <si>
    <t xml:space="preserve">Photos of this service + process + FAQs. Evidence: Travis County Jail scope included gutters - CONFIRM standalone</t>
  </si>
  <si>
    <t xml:space="preserve">P064</t>
  </si>
  <si>
    <t xml:space="preserve">/services/emergency-roof-repair/</t>
  </si>
  <si>
    <t xml:space="preserve">emergency roof repair austin</t>
  </si>
  <si>
    <t xml:space="preserve">roof tarp service austin; 24 hour roofer austin</t>
  </si>
  <si>
    <t xml:space="preserve">Emergency Roof Repair in Austin, TX | Portillo Roofing</t>
  </si>
  <si>
    <t xml:space="preserve">Emergency Roof Repair in Austin &amp; Central Texas</t>
  </si>
  <si>
    <t xml:space="preserve">Photos of this service + process + FAQs. Evidence: Site claims 24/7 hotline - no process confirmed</t>
  </si>
  <si>
    <t xml:space="preserve">Offered? CONFIRM. Gate: only with a real after-hours phone process.</t>
  </si>
  <si>
    <t xml:space="preserve">P065</t>
  </si>
  <si>
    <t xml:space="preserve">/remodeling/#flooring</t>
  </si>
  <si>
    <t xml:space="preserve">flooring installation austin</t>
  </si>
  <si>
    <t xml:space="preserve">vinyl plank flooring installation austin</t>
  </si>
  <si>
    <t xml:space="preserve">H2: Flooring Installation</t>
  </si>
  <si>
    <t xml:space="preserve">Photos of this work. Evidence: CONFIRM offered standalone</t>
  </si>
  <si>
    <t xml:space="preserve">Offered? CONFIRM. Category: Remodeling.</t>
  </si>
  <si>
    <t xml:space="preserve">P066</t>
  </si>
  <si>
    <t xml:space="preserve">/remodeling/#pool-tile</t>
  </si>
  <si>
    <t xml:space="preserve">pool tile replacement austin</t>
  </si>
  <si>
    <t xml:space="preserve">pool coping replacement austin</t>
  </si>
  <si>
    <t xml:space="preserve">H2: Pool Tile &amp; Coping</t>
  </si>
  <si>
    <t xml:space="preserve">Photos of this work. Evidence: Pool renovation job - CONFIRM complete</t>
  </si>
  <si>
    <t xml:space="preserve">P067</t>
  </si>
  <si>
    <t xml:space="preserve">/remodeling/#cabinets</t>
  </si>
  <si>
    <t xml:space="preserve">cabinet painting austin</t>
  </si>
  <si>
    <t xml:space="preserve">kitchen cabinet refinishing austin</t>
  </si>
  <si>
    <t xml:space="preserve">H2: Cabinet Painting &amp; Refinishing</t>
  </si>
  <si>
    <t xml:space="preserve">Photos of this work. Evidence: CONFIRM offered</t>
  </si>
  <si>
    <t xml:space="preserve">P068</t>
  </si>
  <si>
    <t xml:space="preserve">/remodeling/#staining</t>
  </si>
  <si>
    <t xml:space="preserve">fence staining austin</t>
  </si>
  <si>
    <t xml:space="preserve">deck staining austin</t>
  </si>
  <si>
    <t xml:space="preserve">H2: Deck &amp; Fence Staining</t>
  </si>
  <si>
    <t xml:space="preserve">Photos of this work. Evidence: CONFIRM offered - low ticket, add-on only</t>
  </si>
  <si>
    <t xml:space="preserve">P069</t>
  </si>
  <si>
    <t xml:space="preserve">/services/roof-inspection/#roof-cleaning</t>
  </si>
  <si>
    <t xml:space="preserve">roof cleaning austin</t>
  </si>
  <si>
    <t xml:space="preserve">roof soft wash austin</t>
  </si>
  <si>
    <t xml:space="preserve">H2: Roof Soft Washing</t>
  </si>
  <si>
    <t xml:space="preserve">Parent: /services/roof-inspection/</t>
  </si>
  <si>
    <t xml:space="preserve">Offered? CONFIRM. Category: Roofing.</t>
  </si>
  <si>
    <t xml:space="preserve">P070</t>
  </si>
  <si>
    <t xml:space="preserve">/countertops/#quartz</t>
  </si>
  <si>
    <t xml:space="preserve">quartz countertops austin</t>
  </si>
  <si>
    <t xml:space="preserve">quartz countertop installation austin</t>
  </si>
  <si>
    <t xml:space="preserve">H2: Quartz Countertops</t>
  </si>
  <si>
    <t xml:space="preserve">Offered? CONFIRM. Category: Countertops.</t>
  </si>
  <si>
    <t xml:space="preserve">P071</t>
  </si>
  <si>
    <t xml:space="preserve">/countertops/#resurfacing</t>
  </si>
  <si>
    <t xml:space="preserve">countertop resurfacing austin</t>
  </si>
  <si>
    <t xml:space="preserve">epoxy countertop over laminate</t>
  </si>
  <si>
    <t xml:space="preserve">H2: Countertop Resurfacing</t>
  </si>
  <si>
    <t xml:space="preserve">P072</t>
  </si>
  <si>
    <t xml:space="preserve">/areas/manor/</t>
  </si>
  <si>
    <t xml:space="preserve">roofer manor</t>
  </si>
  <si>
    <t xml:space="preserve">roofing company manor; roofing contractor manor tx; roof repair manor</t>
  </si>
  <si>
    <t xml:space="preserve">Manor, TX Roofing Contractor | Portillo Roofing</t>
  </si>
  <si>
    <t xml:space="preserve">Roofing Contractor in Manor, TX</t>
  </si>
  <si>
    <t xml:space="preserve">Zone: East / metro (Roofing + remodeling; no low-ticket add-ons). </t>
  </si>
  <si>
    <t xml:space="preserve">P073</t>
  </si>
  <si>
    <t xml:space="preserve">/areas/pflugerville/</t>
  </si>
  <si>
    <t xml:space="preserve">roofer pflugerville</t>
  </si>
  <si>
    <t xml:space="preserve">roofing company pflugerville; roofing contractor pflugerville tx; roof repair pflugerville</t>
  </si>
  <si>
    <t xml:space="preserve">Pflugerville, TX Roofing Contractor | Portillo Roofing</t>
  </si>
  <si>
    <t xml:space="preserve">Roofing Contractor in Pflugerville, TX</t>
  </si>
  <si>
    <t xml:space="preserve">Zone: East / metro (Roofing + remodeling; no low-ticket add-ons). Currently listed on site.</t>
  </si>
  <si>
    <t xml:space="preserve">P074</t>
  </si>
  <si>
    <t xml:space="preserve">/areas/round-rock/</t>
  </si>
  <si>
    <t xml:space="preserve">roofer round rock</t>
  </si>
  <si>
    <t xml:space="preserve">roofing company round rock; roofing contractor round rock tx; roof repair round rock</t>
  </si>
  <si>
    <t xml:space="preserve">Round Rock, TX Roofing Contractor | Portillo Roofing</t>
  </si>
  <si>
    <t xml:space="preserve">Roofing Contractor in Round Rock, TX</t>
  </si>
  <si>
    <t xml:space="preserve">Zone: North (Roofing replacement, metal, commercial, new construction only). Currently listed on site.</t>
  </si>
  <si>
    <t xml:space="preserve">P075</t>
  </si>
  <si>
    <t xml:space="preserve">/areas/hutto/</t>
  </si>
  <si>
    <t xml:space="preserve">roofer hutto</t>
  </si>
  <si>
    <t xml:space="preserve">roofing company hutto; roofing contractor hutto tx; roof repair hutto</t>
  </si>
  <si>
    <t xml:space="preserve">Hutto, TX Roofing Contractor | Portillo Roofing</t>
  </si>
  <si>
    <t xml:space="preserve">Roofing Contractor in Hutto, TX</t>
  </si>
  <si>
    <t xml:space="preserve">Zone: North (Roofing replacement, metal, commercial, new construction only). </t>
  </si>
  <si>
    <t xml:space="preserve">P076</t>
  </si>
  <si>
    <t xml:space="preserve">/areas/cedar-park/</t>
  </si>
  <si>
    <t xml:space="preserve">roofer cedar park</t>
  </si>
  <si>
    <t xml:space="preserve">roofing company cedar park; roofing contractor cedar park tx; roof repair cedar park</t>
  </si>
  <si>
    <t xml:space="preserve">Cedar Park, TX Roofing Contractor | Portillo Roofing</t>
  </si>
  <si>
    <t xml:space="preserve">Roofing Contractor in Cedar Park, TX</t>
  </si>
  <si>
    <t xml:space="preserve">P077</t>
  </si>
  <si>
    <t xml:space="preserve">/areas/leander/</t>
  </si>
  <si>
    <t xml:space="preserve">roofer leander</t>
  </si>
  <si>
    <t xml:space="preserve">roofing company leander; roofing contractor leander tx; roof repair leander</t>
  </si>
  <si>
    <t xml:space="preserve">Leander, TX Roofing Contractor | Portillo Roofing</t>
  </si>
  <si>
    <t xml:space="preserve">Roofing Contractor in Leander, TX</t>
  </si>
  <si>
    <t xml:space="preserve">P078</t>
  </si>
  <si>
    <t xml:space="preserve">/areas/georgetown/</t>
  </si>
  <si>
    <t xml:space="preserve">roofer georgetown</t>
  </si>
  <si>
    <t xml:space="preserve">roofing company georgetown; roofing contractor georgetown tx; roof repair georgetown</t>
  </si>
  <si>
    <t xml:space="preserve">Georgetown, TX Roofing Contractor | Portillo Roofing</t>
  </si>
  <si>
    <t xml:space="preserve">Roofing Contractor in Georgetown, TX</t>
  </si>
  <si>
    <t xml:space="preserve">P079</t>
  </si>
  <si>
    <t xml:space="preserve">/projects/fiset/</t>
  </si>
  <si>
    <t xml:space="preserve">new construction roof project</t>
  </si>
  <si>
    <t xml:space="preserve">Fiset | Portillo Roofing</t>
  </si>
  <si>
    <t xml:space="preserve">Fiset: New Construction Roof</t>
  </si>
  <si>
    <t xml:space="preserve">In progress - publish when complete. Need job town. GC jobs: get builder OK before publishing.</t>
  </si>
  <si>
    <t xml:space="preserve">P080</t>
  </si>
  <si>
    <t xml:space="preserve">/guides/standing-seam-vs-exposed-fastener/</t>
  </si>
  <si>
    <t xml:space="preserve">standing seam vs exposed fastener metal roof</t>
  </si>
  <si>
    <t xml:space="preserve">snap lock vs mechanical lock standing seam</t>
  </si>
  <si>
    <t xml:space="preserve">Standing Seam vs. Exposed-Fastener Metal Roofs</t>
  </si>
  <si>
    <t xml:space="preserve">P081</t>
  </si>
  <si>
    <t xml:space="preserve">/guides/tile-roof-repair-vs-replacement/</t>
  </si>
  <si>
    <t xml:space="preserve">tile roof underlayment replacement cost</t>
  </si>
  <si>
    <t xml:space="preserve">tile roof underlayment replacement; reuse roof tiles</t>
  </si>
  <si>
    <t xml:space="preserve">Tile Roof: Repair the Underlayment or Replace?</t>
  </si>
  <si>
    <t xml:space="preserve">P082</t>
  </si>
  <si>
    <t xml:space="preserve">/guides/tpo-vs-modified-bitumen/</t>
  </si>
  <si>
    <t xml:space="preserve">tpo vs modified bitumen</t>
  </si>
  <si>
    <t xml:space="preserve">best flat roof material texas</t>
  </si>
  <si>
    <t xml:space="preserve">TPO vs. Modified Bitumen for Flat Roofs</t>
  </si>
  <si>
    <t xml:space="preserve">P083</t>
  </si>
  <si>
    <t xml:space="preserve">/guides/roofing-permit-austin/</t>
  </si>
  <si>
    <t xml:space="preserve">roofing permit austin</t>
  </si>
  <si>
    <t xml:space="preserve">city of austin reroof permit</t>
  </si>
  <si>
    <t xml:space="preserve">Do You Need a Permit to Replace a Roof in Austin?</t>
  </si>
  <si>
    <t xml:space="preserve">P084</t>
  </si>
  <si>
    <t xml:space="preserve">/guides/how-to-choose-a-roofer-austin/</t>
  </si>
  <si>
    <t xml:space="preserve">how to choose a roofer austin</t>
  </si>
  <si>
    <t xml:space="preserve">roofing scams after hail storm texas</t>
  </si>
  <si>
    <t xml:space="preserve">How to Choose a Roofing Contractor in Austin</t>
  </si>
  <si>
    <t xml:space="preserve">P085</t>
  </si>
  <si>
    <t xml:space="preserve">/guides/roof-replacement-timeline/</t>
  </si>
  <si>
    <t xml:space="preserve">how long does a roof replacement take</t>
  </si>
  <si>
    <t xml:space="preserve">roof replacement process</t>
  </si>
  <si>
    <t xml:space="preserve">What Happens on Roof Replacement Day</t>
  </si>
  <si>
    <t xml:space="preserve">P086</t>
  </si>
  <si>
    <t xml:space="preserve">/guides/granite-vs-epoxy-countertops/</t>
  </si>
  <si>
    <t xml:space="preserve">granite vs epoxy countertops</t>
  </si>
  <si>
    <t xml:space="preserve">epoxy countertop durability</t>
  </si>
  <si>
    <t xml:space="preserve">Granite vs. Epoxy Countertops</t>
  </si>
  <si>
    <t xml:space="preserve">P087</t>
  </si>
  <si>
    <t xml:space="preserve">/guides/home-renovation-cost-austin/</t>
  </si>
  <si>
    <t xml:space="preserve">home renovation cost austin</t>
  </si>
  <si>
    <t xml:space="preserve">cost to gut and remodel a house austin</t>
  </si>
  <si>
    <t xml:space="preserve">Whole-Home Renovation Cost in Austin</t>
  </si>
  <si>
    <t xml:space="preserve">P088</t>
  </si>
  <si>
    <t xml:space="preserve">/areas/dale/roof-replacement/</t>
  </si>
  <si>
    <t xml:space="preserve">roof replacement dale</t>
  </si>
  <si>
    <t xml:space="preserve">roof replacement dale tx</t>
  </si>
  <si>
    <t xml:space="preserve">Roof Replacement in Dale, TX | Portillo Roofing</t>
  </si>
  <si>
    <t xml:space="preserve">Roof Replacement in Dale, TX</t>
  </si>
  <si>
    <t xml:space="preserve">/areas/dale/, /services/roof-replacement/, matching project</t>
  </si>
  <si>
    <t xml:space="preserve">Until built, the town page owns this keyword.</t>
  </si>
  <si>
    <t xml:space="preserve">P089</t>
  </si>
  <si>
    <t xml:space="preserve">/areas/dale/metal-roofing/</t>
  </si>
  <si>
    <t xml:space="preserve">metal roofing dale</t>
  </si>
  <si>
    <t xml:space="preserve">metal roofing dale tx</t>
  </si>
  <si>
    <t xml:space="preserve">Metal Roofing in Dale, TX | Portillo Roofing</t>
  </si>
  <si>
    <t xml:space="preserve">Standing Seam Metal Roofing in Dale, TX</t>
  </si>
  <si>
    <t xml:space="preserve">/areas/dale/, /services/metal-roofing/, matching project</t>
  </si>
  <si>
    <t xml:space="preserve">P090</t>
  </si>
  <si>
    <t xml:space="preserve">/areas/dale/hail-damage-roof-repair/</t>
  </si>
  <si>
    <t xml:space="preserve">hail damage roof repair dale</t>
  </si>
  <si>
    <t xml:space="preserve">hail damage roof repair dale tx</t>
  </si>
  <si>
    <t xml:space="preserve">Hail &amp; Storm Damage Repair in Dale, TX | Portillo Roofing</t>
  </si>
  <si>
    <t xml:space="preserve">Hail &amp; Storm Damage Repair in Dale, TX</t>
  </si>
  <si>
    <t xml:space="preserve">/areas/dale/, /services/hail-damage-roof-repair/, matching project</t>
  </si>
  <si>
    <t xml:space="preserve">P091</t>
  </si>
  <si>
    <t xml:space="preserve">/areas/san-marcos/metal-roofing/</t>
  </si>
  <si>
    <t xml:space="preserve">metal roofing san marcos</t>
  </si>
  <si>
    <t xml:space="preserve">metal roofing san marcos tx</t>
  </si>
  <si>
    <t xml:space="preserve">Metal Roofing in San Marcos, TX | Portillo Roofing</t>
  </si>
  <si>
    <t xml:space="preserve">Standing Seam Metal Roofing in San Marcos, TX</t>
  </si>
  <si>
    <t xml:space="preserve">/areas/san-marcos/, /services/metal-roofing/, matching project</t>
  </si>
  <si>
    <t xml:space="preserve">P092</t>
  </si>
  <si>
    <t xml:space="preserve">/areas/san-marcos/hail-damage-roof-repair/</t>
  </si>
  <si>
    <t xml:space="preserve">hail damage roof repair san marcos</t>
  </si>
  <si>
    <t xml:space="preserve">hail damage roof repair san marcos tx</t>
  </si>
  <si>
    <t xml:space="preserve">Hail &amp; Storm Damage Repair in San Marcos, TX</t>
  </si>
  <si>
    <t xml:space="preserve">/areas/san-marcos/, /services/hail-damage-roof-repair/, matching project</t>
  </si>
  <si>
    <t xml:space="preserve">P093</t>
  </si>
  <si>
    <t xml:space="preserve">/areas/lockhart/roof-replacement/</t>
  </si>
  <si>
    <t xml:space="preserve">roof replacement lockhart</t>
  </si>
  <si>
    <t xml:space="preserve">roof replacement lockhart tx</t>
  </si>
  <si>
    <t xml:space="preserve">Roof Replacement in Lockhart, TX | Portillo Roofing</t>
  </si>
  <si>
    <t xml:space="preserve">Roof Replacement in Lockhart, TX</t>
  </si>
  <si>
    <t xml:space="preserve">/areas/lockhart/, /services/roof-replacement/, matching project</t>
  </si>
  <si>
    <t xml:space="preserve">P094</t>
  </si>
  <si>
    <t xml:space="preserve">/areas/lockhart/metal-roofing/</t>
  </si>
  <si>
    <t xml:space="preserve">metal roofing lockhart</t>
  </si>
  <si>
    <t xml:space="preserve">metal roofing lockhart tx</t>
  </si>
  <si>
    <t xml:space="preserve">Metal Roofing in Lockhart, TX | Portillo Roofing</t>
  </si>
  <si>
    <t xml:space="preserve">Standing Seam Metal Roofing in Lockhart, TX</t>
  </si>
  <si>
    <t xml:space="preserve">/areas/lockhart/, /services/metal-roofing/, matching project</t>
  </si>
  <si>
    <t xml:space="preserve">P095</t>
  </si>
  <si>
    <t xml:space="preserve">/areas/lockhart/hail-damage-roof-repair/</t>
  </si>
  <si>
    <t xml:space="preserve">hail damage roof repair lockhart</t>
  </si>
  <si>
    <t xml:space="preserve">hail damage roof repair lockhart tx</t>
  </si>
  <si>
    <t xml:space="preserve">Hail &amp; Storm Damage Repair in Lockhart, TX</t>
  </si>
  <si>
    <t xml:space="preserve">/areas/lockhart/, /services/hail-damage-roof-repair/, matching project</t>
  </si>
  <si>
    <t xml:space="preserve">P096</t>
  </si>
  <si>
    <t xml:space="preserve">/areas/bastrop/roof-replacement/</t>
  </si>
  <si>
    <t xml:space="preserve">roof replacement bastrop</t>
  </si>
  <si>
    <t xml:space="preserve">roof replacement bastrop tx</t>
  </si>
  <si>
    <t xml:space="preserve">Roof Replacement in Bastrop, TX | Portillo Roofing</t>
  </si>
  <si>
    <t xml:space="preserve">Roof Replacement in Bastrop, TX</t>
  </si>
  <si>
    <t xml:space="preserve">/areas/bastrop/, /services/roof-replacement/, matching project</t>
  </si>
  <si>
    <t xml:space="preserve">P097</t>
  </si>
  <si>
    <t xml:space="preserve">/areas/bastrop/metal-roofing/</t>
  </si>
  <si>
    <t xml:space="preserve">metal roofing bastrop</t>
  </si>
  <si>
    <t xml:space="preserve">metal roofing bastrop tx</t>
  </si>
  <si>
    <t xml:space="preserve">Metal Roofing in Bastrop, TX | Portillo Roofing</t>
  </si>
  <si>
    <t xml:space="preserve">Standing Seam Metal Roofing in Bastrop, TX</t>
  </si>
  <si>
    <t xml:space="preserve">/areas/bastrop/, /services/metal-roofing/, matching project</t>
  </si>
  <si>
    <t xml:space="preserve">P098</t>
  </si>
  <si>
    <t xml:space="preserve">/areas/bastrop/hail-damage-roof-repair/</t>
  </si>
  <si>
    <t xml:space="preserve">hail damage roof repair bastrop</t>
  </si>
  <si>
    <t xml:space="preserve">hail damage roof repair bastrop tx</t>
  </si>
  <si>
    <t xml:space="preserve">Hail &amp; Storm Damage Repair in Bastrop, TX | Portillo Roofing</t>
  </si>
  <si>
    <t xml:space="preserve">Hail &amp; Storm Damage Repair in Bastrop, TX</t>
  </si>
  <si>
    <t xml:space="preserve">/areas/bastrop/, /services/hail-damage-roof-repair/, matching project</t>
  </si>
  <si>
    <t xml:space="preserve">P099</t>
  </si>
  <si>
    <t xml:space="preserve">/areas/kyle/roof-replacement/</t>
  </si>
  <si>
    <t xml:space="preserve">roof replacement kyle</t>
  </si>
  <si>
    <t xml:space="preserve">roof replacement kyle tx</t>
  </si>
  <si>
    <t xml:space="preserve">Roof Replacement in Kyle, TX | Portillo Roofing</t>
  </si>
  <si>
    <t xml:space="preserve">Roof Replacement in Kyle, TX</t>
  </si>
  <si>
    <t xml:space="preserve">/areas/kyle/, /services/roof-replacement/, matching project</t>
  </si>
  <si>
    <t xml:space="preserve">P100</t>
  </si>
  <si>
    <t xml:space="preserve">/areas/kyle/metal-roofing/</t>
  </si>
  <si>
    <t xml:space="preserve">metal roofing kyle</t>
  </si>
  <si>
    <t xml:space="preserve">metal roofing kyle tx</t>
  </si>
  <si>
    <t xml:space="preserve">Metal Roofing in Kyle, TX | Portillo Roofing</t>
  </si>
  <si>
    <t xml:space="preserve">Standing Seam Metal Roofing in Kyle, TX</t>
  </si>
  <si>
    <t xml:space="preserve">/areas/kyle/, /services/metal-roofing/, matching project</t>
  </si>
  <si>
    <t xml:space="preserve">P101</t>
  </si>
  <si>
    <t xml:space="preserve">/areas/kyle/hail-damage-roof-repair/</t>
  </si>
  <si>
    <t xml:space="preserve">hail damage roof repair kyle</t>
  </si>
  <si>
    <t xml:space="preserve">hail damage roof repair kyle tx</t>
  </si>
  <si>
    <t xml:space="preserve">Hail &amp; Storm Damage Repair in Kyle, TX | Portillo Roofing</t>
  </si>
  <si>
    <t xml:space="preserve">Hail &amp; Storm Damage Repair in Kyle, TX</t>
  </si>
  <si>
    <t xml:space="preserve">/areas/kyle/, /services/hail-damage-roof-repair/, matching project</t>
  </si>
  <si>
    <t xml:space="preserve">P102</t>
  </si>
  <si>
    <t xml:space="preserve">/areas/buda/roof-replacement/</t>
  </si>
  <si>
    <t xml:space="preserve">roof replacement buda</t>
  </si>
  <si>
    <t xml:space="preserve">roof replacement buda tx</t>
  </si>
  <si>
    <t xml:space="preserve">Roof Replacement in Buda, TX | Portillo Roofing</t>
  </si>
  <si>
    <t xml:space="preserve">Roof Replacement in Buda, TX</t>
  </si>
  <si>
    <t xml:space="preserve">/areas/buda/, /services/roof-replacement/, matching project</t>
  </si>
  <si>
    <t xml:space="preserve">P103</t>
  </si>
  <si>
    <t xml:space="preserve">/areas/buda/metal-roofing/</t>
  </si>
  <si>
    <t xml:space="preserve">metal roofing buda</t>
  </si>
  <si>
    <t xml:space="preserve">metal roofing buda tx</t>
  </si>
  <si>
    <t xml:space="preserve">Metal Roofing in Buda, TX | Portillo Roofing</t>
  </si>
  <si>
    <t xml:space="preserve">Standing Seam Metal Roofing in Buda, TX</t>
  </si>
  <si>
    <t xml:space="preserve">/areas/buda/, /services/metal-roofing/, matching project</t>
  </si>
  <si>
    <t xml:space="preserve">P104</t>
  </si>
  <si>
    <t xml:space="preserve">/areas/buda/hail-damage-roof-repair/</t>
  </si>
  <si>
    <t xml:space="preserve">hail damage roof repair buda</t>
  </si>
  <si>
    <t xml:space="preserve">hail damage roof repair buda tx</t>
  </si>
  <si>
    <t xml:space="preserve">Hail &amp; Storm Damage Repair in Buda, TX | Portillo Roofing</t>
  </si>
  <si>
    <t xml:space="preserve">Hail &amp; Storm Damage Repair in Buda, TX</t>
  </si>
  <si>
    <t xml:space="preserve">/areas/buda/, /services/hail-damage-roof-repair/, matching project</t>
  </si>
  <si>
    <t xml:space="preserve">P105</t>
  </si>
  <si>
    <t xml:space="preserve">/areas/manor/roof-replacement/</t>
  </si>
  <si>
    <t xml:space="preserve">roof replacement manor</t>
  </si>
  <si>
    <t xml:space="preserve">roof replacement manor tx</t>
  </si>
  <si>
    <t xml:space="preserve">Roof Replacement in Manor, TX | Portillo Roofing</t>
  </si>
  <si>
    <t xml:space="preserve">Roof Replacement in Manor, TX</t>
  </si>
  <si>
    <t xml:space="preserve">/areas/manor/, /services/roof-replacement/, matching project</t>
  </si>
  <si>
    <t xml:space="preserve">P106</t>
  </si>
  <si>
    <t xml:space="preserve">/areas/manor/metal-roofing/</t>
  </si>
  <si>
    <t xml:space="preserve">metal roofing manor</t>
  </si>
  <si>
    <t xml:space="preserve">metal roofing manor tx</t>
  </si>
  <si>
    <t xml:space="preserve">Metal Roofing in Manor, TX | Portillo Roofing</t>
  </si>
  <si>
    <t xml:space="preserve">Standing Seam Metal Roofing in Manor, TX</t>
  </si>
  <si>
    <t xml:space="preserve">/areas/manor/, /services/metal-roofing/, matching project</t>
  </si>
  <si>
    <t xml:space="preserve">P107</t>
  </si>
  <si>
    <t xml:space="preserve">/areas/manor/hail-damage-roof-repair/</t>
  </si>
  <si>
    <t xml:space="preserve">hail damage roof repair manor</t>
  </si>
  <si>
    <t xml:space="preserve">hail damage roof repair manor tx</t>
  </si>
  <si>
    <t xml:space="preserve">Hail &amp; Storm Damage Repair in Manor, TX | Portillo Roofing</t>
  </si>
  <si>
    <t xml:space="preserve">Hail &amp; Storm Damage Repair in Manor, TX</t>
  </si>
  <si>
    <t xml:space="preserve">/areas/manor/, /services/hail-damage-roof-repair/, matching project</t>
  </si>
  <si>
    <t xml:space="preserve">P108</t>
  </si>
  <si>
    <t xml:space="preserve">/areas/pflugerville/roof-replacement/</t>
  </si>
  <si>
    <t xml:space="preserve">roof replacement pflugerville</t>
  </si>
  <si>
    <t xml:space="preserve">roof replacement pflugerville tx</t>
  </si>
  <si>
    <t xml:space="preserve">Roof Replacement in Pflugerville, TX | Portillo Roofing</t>
  </si>
  <si>
    <t xml:space="preserve">Roof Replacement in Pflugerville, TX</t>
  </si>
  <si>
    <t xml:space="preserve">/areas/pflugerville/, /services/roof-replacement/, matching project</t>
  </si>
  <si>
    <t xml:space="preserve">P109</t>
  </si>
  <si>
    <t xml:space="preserve">/areas/pflugerville/metal-roofing/</t>
  </si>
  <si>
    <t xml:space="preserve">metal roofing pflugerville</t>
  </si>
  <si>
    <t xml:space="preserve">metal roofing pflugerville tx</t>
  </si>
  <si>
    <t xml:space="preserve">Metal Roofing in Pflugerville, TX | Portillo Roofing</t>
  </si>
  <si>
    <t xml:space="preserve">Standing Seam Metal Roofing in Pflugerville, TX</t>
  </si>
  <si>
    <t xml:space="preserve">/areas/pflugerville/, /services/metal-roofing/, matching project</t>
  </si>
  <si>
    <t xml:space="preserve">P110</t>
  </si>
  <si>
    <t xml:space="preserve">/areas/pflugerville/hail-damage-roof-repair/</t>
  </si>
  <si>
    <t xml:space="preserve">hail damage roof repair pflugerville</t>
  </si>
  <si>
    <t xml:space="preserve">hail damage roof repair pflugerville tx</t>
  </si>
  <si>
    <t xml:space="preserve">Hail &amp; Storm Damage Repair in Pflugerville, TX</t>
  </si>
  <si>
    <t xml:space="preserve">/areas/pflugerville/, /services/hail-damage-roof-repair/, matching project</t>
  </si>
  <si>
    <t xml:space="preserve">P111</t>
  </si>
  <si>
    <t xml:space="preserve">/areas/round-rock/roof-replacement/</t>
  </si>
  <si>
    <t xml:space="preserve">roof replacement round rock</t>
  </si>
  <si>
    <t xml:space="preserve">roof replacement round rock tx</t>
  </si>
  <si>
    <t xml:space="preserve">Roof Replacement in Round Rock, TX | Portillo Roofing</t>
  </si>
  <si>
    <t xml:space="preserve">Roof Replacement in Round Rock, TX</t>
  </si>
  <si>
    <t xml:space="preserve">/areas/round-rock/, /services/roof-replacement/, matching project</t>
  </si>
  <si>
    <t xml:space="preserve">P112</t>
  </si>
  <si>
    <t xml:space="preserve">/areas/round-rock/metal-roofing/</t>
  </si>
  <si>
    <t xml:space="preserve">metal roofing round rock</t>
  </si>
  <si>
    <t xml:space="preserve">metal roofing round rock tx</t>
  </si>
  <si>
    <t xml:space="preserve">Metal Roofing in Round Rock, TX | Portillo Roofing</t>
  </si>
  <si>
    <t xml:space="preserve">Standing Seam Metal Roofing in Round Rock, TX</t>
  </si>
  <si>
    <t xml:space="preserve">/areas/round-rock/, /services/metal-roofing/, matching project</t>
  </si>
  <si>
    <t xml:space="preserve">P113</t>
  </si>
  <si>
    <t xml:space="preserve">/areas/round-rock/hail-damage-roof-repair/</t>
  </si>
  <si>
    <t xml:space="preserve">hail damage roof repair round rock</t>
  </si>
  <si>
    <t xml:space="preserve">hail damage roof repair round rock tx</t>
  </si>
  <si>
    <t xml:space="preserve">Hail &amp; Storm Damage Repair in Round Rock, TX</t>
  </si>
  <si>
    <t xml:space="preserve">/areas/round-rock/, /services/hail-damage-roof-repair/, matching project</t>
  </si>
  <si>
    <t xml:space="preserve">P114</t>
  </si>
  <si>
    <t xml:space="preserve">/areas/hutto/roof-replacement/</t>
  </si>
  <si>
    <t xml:space="preserve">roof replacement hutto</t>
  </si>
  <si>
    <t xml:space="preserve">roof replacement hutto tx</t>
  </si>
  <si>
    <t xml:space="preserve">Roof Replacement in Hutto, TX | Portillo Roofing</t>
  </si>
  <si>
    <t xml:space="preserve">Roof Replacement in Hutto, TX</t>
  </si>
  <si>
    <t xml:space="preserve">/areas/hutto/, /services/roof-replacement/, matching project</t>
  </si>
  <si>
    <t xml:space="preserve">P115</t>
  </si>
  <si>
    <t xml:space="preserve">/areas/hutto/metal-roofing/</t>
  </si>
  <si>
    <t xml:space="preserve">metal roofing hutto</t>
  </si>
  <si>
    <t xml:space="preserve">metal roofing hutto tx</t>
  </si>
  <si>
    <t xml:space="preserve">Metal Roofing in Hutto, TX | Portillo Roofing</t>
  </si>
  <si>
    <t xml:space="preserve">Standing Seam Metal Roofing in Hutto, TX</t>
  </si>
  <si>
    <t xml:space="preserve">/areas/hutto/, /services/metal-roofing/, matching project</t>
  </si>
  <si>
    <t xml:space="preserve">P116</t>
  </si>
  <si>
    <t xml:space="preserve">/areas/hutto/hail-damage-roof-repair/</t>
  </si>
  <si>
    <t xml:space="preserve">hail damage roof repair hutto</t>
  </si>
  <si>
    <t xml:space="preserve">hail damage roof repair hutto tx</t>
  </si>
  <si>
    <t xml:space="preserve">Hail &amp; Storm Damage Repair in Hutto, TX | Portillo Roofing</t>
  </si>
  <si>
    <t xml:space="preserve">Hail &amp; Storm Damage Repair in Hutto, TX</t>
  </si>
  <si>
    <t xml:space="preserve">/areas/hutto/, /services/hail-damage-roof-repair/, matching project</t>
  </si>
  <si>
    <t xml:space="preserve">P117</t>
  </si>
  <si>
    <t xml:space="preserve">/areas/cedar-park/roof-replacement/</t>
  </si>
  <si>
    <t xml:space="preserve">roof replacement cedar park</t>
  </si>
  <si>
    <t xml:space="preserve">roof replacement cedar park tx</t>
  </si>
  <si>
    <t xml:space="preserve">Roof Replacement in Cedar Park, TX | Portillo Roofing</t>
  </si>
  <si>
    <t xml:space="preserve">Roof Replacement in Cedar Park, TX</t>
  </si>
  <si>
    <t xml:space="preserve">/areas/cedar-park/, /services/roof-replacement/, matching project</t>
  </si>
  <si>
    <t xml:space="preserve">P118</t>
  </si>
  <si>
    <t xml:space="preserve">/areas/cedar-park/metal-roofing/</t>
  </si>
  <si>
    <t xml:space="preserve">metal roofing cedar park</t>
  </si>
  <si>
    <t xml:space="preserve">metal roofing cedar park tx</t>
  </si>
  <si>
    <t xml:space="preserve">Metal Roofing in Cedar Park, TX | Portillo Roofing</t>
  </si>
  <si>
    <t xml:space="preserve">Standing Seam Metal Roofing in Cedar Park, TX</t>
  </si>
  <si>
    <t xml:space="preserve">/areas/cedar-park/, /services/metal-roofing/, matching project</t>
  </si>
  <si>
    <t xml:space="preserve">P119</t>
  </si>
  <si>
    <t xml:space="preserve">/areas/cedar-park/hail-damage-roof-repair/</t>
  </si>
  <si>
    <t xml:space="preserve">hail damage roof repair cedar park</t>
  </si>
  <si>
    <t xml:space="preserve">hail damage roof repair cedar park tx</t>
  </si>
  <si>
    <t xml:space="preserve">Hail &amp; Storm Damage Repair in Cedar Park, TX</t>
  </si>
  <si>
    <t xml:space="preserve">/areas/cedar-park/, /services/hail-damage-roof-repair/, matching project</t>
  </si>
  <si>
    <t xml:space="preserve">P120</t>
  </si>
  <si>
    <t xml:space="preserve">/areas/leander/roof-replacement/</t>
  </si>
  <si>
    <t xml:space="preserve">roof replacement leander</t>
  </si>
  <si>
    <t xml:space="preserve">roof replacement leander tx</t>
  </si>
  <si>
    <t xml:space="preserve">Roof Replacement in Leander, TX | Portillo Roofing</t>
  </si>
  <si>
    <t xml:space="preserve">Roof Replacement in Leander, TX</t>
  </si>
  <si>
    <t xml:space="preserve">/areas/leander/, /services/roof-replacement/, matching project</t>
  </si>
  <si>
    <t xml:space="preserve">P121</t>
  </si>
  <si>
    <t xml:space="preserve">/areas/leander/metal-roofing/</t>
  </si>
  <si>
    <t xml:space="preserve">metal roofing leander</t>
  </si>
  <si>
    <t xml:space="preserve">metal roofing leander tx</t>
  </si>
  <si>
    <t xml:space="preserve">Metal Roofing in Leander, TX | Portillo Roofing</t>
  </si>
  <si>
    <t xml:space="preserve">Standing Seam Metal Roofing in Leander, TX</t>
  </si>
  <si>
    <t xml:space="preserve">/areas/leander/, /services/metal-roofing/, matching project</t>
  </si>
  <si>
    <t xml:space="preserve">P122</t>
  </si>
  <si>
    <t xml:space="preserve">/areas/leander/hail-damage-roof-repair/</t>
  </si>
  <si>
    <t xml:space="preserve">hail damage roof repair leander</t>
  </si>
  <si>
    <t xml:space="preserve">hail damage roof repair leander tx</t>
  </si>
  <si>
    <t xml:space="preserve">Hail &amp; Storm Damage Repair in Leander, TX | Portillo Roofing</t>
  </si>
  <si>
    <t xml:space="preserve">Hail &amp; Storm Damage Repair in Leander, TX</t>
  </si>
  <si>
    <t xml:space="preserve">/areas/leander/, /services/hail-damage-roof-repair/, matching project</t>
  </si>
  <si>
    <t xml:space="preserve">P123</t>
  </si>
  <si>
    <t xml:space="preserve">/areas/georgetown/roof-replacement/</t>
  </si>
  <si>
    <t xml:space="preserve">roof replacement georgetown</t>
  </si>
  <si>
    <t xml:space="preserve">roof replacement georgetown tx</t>
  </si>
  <si>
    <t xml:space="preserve">Roof Replacement in Georgetown, TX | Portillo Roofing</t>
  </si>
  <si>
    <t xml:space="preserve">Roof Replacement in Georgetown, TX</t>
  </si>
  <si>
    <t xml:space="preserve">/areas/georgetown/, /services/roof-replacement/, matching project</t>
  </si>
  <si>
    <t xml:space="preserve">P124</t>
  </si>
  <si>
    <t xml:space="preserve">/areas/georgetown/metal-roofing/</t>
  </si>
  <si>
    <t xml:space="preserve">metal roofing georgetown</t>
  </si>
  <si>
    <t xml:space="preserve">metal roofing georgetown tx</t>
  </si>
  <si>
    <t xml:space="preserve">Metal Roofing in Georgetown, TX | Portillo Roofing</t>
  </si>
  <si>
    <t xml:space="preserve">Standing Seam Metal Roofing in Georgetown, TX</t>
  </si>
  <si>
    <t xml:space="preserve">/areas/georgetown/, /services/metal-roofing/, matching project</t>
  </si>
  <si>
    <t xml:space="preserve">P125</t>
  </si>
  <si>
    <t xml:space="preserve">/areas/georgetown/hail-damage-roof-repair/</t>
  </si>
  <si>
    <t xml:space="preserve">hail damage roof repair georgetown</t>
  </si>
  <si>
    <t xml:space="preserve">hail damage roof repair georgetown tx</t>
  </si>
  <si>
    <t xml:space="preserve">Hail &amp; Storm Damage Repair in Georgetown, TX</t>
  </si>
  <si>
    <t xml:space="preserve">/areas/georgetown/, /services/hail-damage-roof-repair/, matching project</t>
  </si>
  <si>
    <t xml:space="preserve">Level</t>
  </si>
  <si>
    <t xml:space="preserve">Path pattern</t>
  </si>
  <si>
    <t xml:space="preserve">Count</t>
  </si>
  <si>
    <t xml:space="preserve">Phase 1</t>
  </si>
  <si>
    <t xml:space="preserve">Owns cluster shape</t>
  </si>
  <si>
    <t xml:space="preserve">Schema</t>
  </si>
  <si>
    <t xml:space="preserve">hubs, top roofing services, projects, builders</t>
  </si>
  <si>
    <t xml:space="preserve">/about/ /contact/ /for-builders/ /for-restoration/ /reviews/</t>
  </si>
  <si>
    <t xml:space="preserve">brand; roofing subcontractor; restoration partner</t>
  </si>
  <si>
    <t xml:space="preserve">projects, services</t>
  </si>
  <si>
    <t xml:space="preserve">AboutPage / ContactPage / Service</t>
  </si>
  <si>
    <t xml:space="preserve">/services/ /projects/ /remodeling/ /countertops/ /areas/ /guides/</t>
  </si>
  <si>
    <t xml:space="preserve">category head terms</t>
  </si>
  <si>
    <t xml:space="preserve">child pages</t>
  </si>
  <si>
    <t xml:space="preserve">/services/&lt;service&gt;/</t>
  </si>
  <si>
    <t xml:space="preserve">&lt;service&gt; austin</t>
  </si>
  <si>
    <t xml:space="preserve">live towns, projects, guides</t>
  </si>
  <si>
    <t xml:space="preserve">/remodeling/&lt;service&gt;/</t>
  </si>
  <si>
    <t xml:space="preserve">/remodeling/, projects</t>
  </si>
  <si>
    <t xml:space="preserve">&lt;parent&gt;/#&lt;service&gt;</t>
  </si>
  <si>
    <t xml:space="preserve">&lt;service&gt; austin (on parent page)</t>
  </si>
  <si>
    <t xml:space="preserve">parent page</t>
  </si>
  <si>
    <t xml:space="preserve">/areas/&lt;town&gt;/</t>
  </si>
  <si>
    <t xml:space="preserve">roofer &lt;town&gt;; roof repair &lt;town&gt;</t>
  </si>
  <si>
    <t xml:space="preserve">services, projects in town, nearby towns</t>
  </si>
  <si>
    <t xml:space="preserve">/projects/&lt;project&gt;/</t>
  </si>
  <si>
    <t xml:space="preserve">proof</t>
  </si>
  <si>
    <t xml:space="preserve">service + town</t>
  </si>
  <si>
    <t xml:space="preserve">/guides/&lt;question&gt;/</t>
  </si>
  <si>
    <t xml:space="preserve">questions, costs, comparisons</t>
  </si>
  <si>
    <t xml:space="preserve">matching service</t>
  </si>
  <si>
    <t xml:space="preserve">/areas/&lt;town&gt;/&lt;service&gt;/</t>
  </si>
  <si>
    <t xml:space="preserve">&lt;service&gt; &lt;town&gt;</t>
  </si>
  <si>
    <t xml:space="preserve">town, service, project</t>
  </si>
  <si>
    <t xml:space="preserve">/thank-you/ /privacy-policy/ /terms-of-service/</t>
  </si>
  <si>
    <t xml:space="preserve">Total</t>
  </si>
  <si>
    <t xml:space="preserve">Phase 1 = pages to build in the first pass (excludes Gated and Section rows; includes Live pages that get reworked).</t>
  </si>
  <si>
    <t xml:space="preserve">Category</t>
  </si>
  <si>
    <t xml:space="preserve">Slug</t>
  </si>
  <si>
    <t xml:space="preserve">Service</t>
  </si>
  <si>
    <t xml:space="preserve">Primary keyword</t>
  </si>
  <si>
    <t xml:space="preserve">Lives at</t>
  </si>
  <si>
    <t xml:space="preserve">Offered? (confirm)</t>
  </si>
  <si>
    <t xml:space="preserve">Evidence</t>
  </si>
  <si>
    <t xml:space="preserve">Roofing</t>
  </si>
  <si>
    <t xml:space="preserve">roof-replacement</t>
  </si>
  <si>
    <t xml:space="preserve">Roof Replacement</t>
  </si>
  <si>
    <t xml:space="preserve">TXST Apartments (400 sq reroof)</t>
  </si>
  <si>
    <t xml:space="preserve">roof-repair</t>
  </si>
  <si>
    <t xml:space="preserve">Roof Repair</t>
  </si>
  <si>
    <t xml:space="preserve">Listed on current site - need repair job photos</t>
  </si>
  <si>
    <t xml:space="preserve">metal-roofing</t>
  </si>
  <si>
    <t xml:space="preserve">Standing Seam Metal Roofing</t>
  </si>
  <si>
    <t xml:space="preserve">Inwood, Shoalwood, Knollwood, Curved Ridges, Yuapon</t>
  </si>
  <si>
    <t xml:space="preserve">flat-roofing</t>
  </si>
  <si>
    <t xml:space="preserve">Flat &amp; TPO Roofing</t>
  </si>
  <si>
    <t xml:space="preserve">Mendez School (TPO), Knollwood</t>
  </si>
  <si>
    <t xml:space="preserve">commercial-roofing</t>
  </si>
  <si>
    <t xml:space="preserve">Commercial Roofing</t>
  </si>
  <si>
    <t xml:space="preserve">Travis County Jail, Mendez School, TXST, UT Batter's Eye</t>
  </si>
  <si>
    <t xml:space="preserve">new-construction-roofing</t>
  </si>
  <si>
    <t xml:space="preserve">New Construction Roofing</t>
  </si>
  <si>
    <t xml:space="preserve">Inwood, Shoalwood, Knollwood, Fiset</t>
  </si>
  <si>
    <t xml:space="preserve">hail-damage-roof-repair</t>
  </si>
  <si>
    <t xml:space="preserve">Hail &amp; Storm Damage Repair</t>
  </si>
  <si>
    <t xml:space="preserve">Listed on current site - need storm job photos</t>
  </si>
  <si>
    <t xml:space="preserve">shingle-roofing</t>
  </si>
  <si>
    <t xml:space="preserve">Shingle Roofing</t>
  </si>
  <si>
    <t xml:space="preserve">TXST Apartments</t>
  </si>
  <si>
    <t xml:space="preserve">tile-roof-repair</t>
  </si>
  <si>
    <t xml:space="preserve">Tile Roof Repair</t>
  </si>
  <si>
    <t xml:space="preserve">Tile repair workflow (torch-down underlayment) - need photos</t>
  </si>
  <si>
    <t xml:space="preserve">roof-inspection</t>
  </si>
  <si>
    <t xml:space="preserve">Roof Inspection</t>
  </si>
  <si>
    <t xml:space="preserve">Listed on current site</t>
  </si>
  <si>
    <t xml:space="preserve">roof-coating</t>
  </si>
  <si>
    <t xml:space="preserve">Silicone &amp; Elastomeric Roof Coating</t>
  </si>
  <si>
    <t xml:space="preserve">Owner listed 'coating' - CONFIRM roof coatings specifically</t>
  </si>
  <si>
    <t xml:space="preserve">gutters</t>
  </si>
  <si>
    <t xml:space="preserve">Gutters</t>
  </si>
  <si>
    <t xml:space="preserve">Travis County Jail scope included gutters - CONFIRM standalone</t>
  </si>
  <si>
    <t xml:space="preserve">emergency-roof-repair</t>
  </si>
  <si>
    <t xml:space="preserve">Emergency Roof Repair</t>
  </si>
  <si>
    <t xml:space="preserve">Site claims 24/7 hotline - no process confirmed</t>
  </si>
  <si>
    <t xml:space="preserve">custom-fabrication</t>
  </si>
  <si>
    <t xml:space="preserve">Custom Metal Fascia &amp; Curved Panels</t>
  </si>
  <si>
    <t xml:space="preserve">Yuapon, Curved Ridges</t>
  </si>
  <si>
    <t xml:space="preserve">Remodeling</t>
  </si>
  <si>
    <t xml:space="preserve">home-renovation</t>
  </si>
  <si>
    <t xml:space="preserve">Whole-Home Interior Renovation</t>
  </si>
  <si>
    <t xml:space="preserve">Villa Park (in progress), Dodd (quoted) - not proof until complete</t>
  </si>
  <si>
    <t xml:space="preserve">patio-covers</t>
  </si>
  <si>
    <t xml:space="preserve">Patio Covers &amp; Additions</t>
  </si>
  <si>
    <t xml:space="preserve">Huntridge (quoted) - not proof until complete</t>
  </si>
  <si>
    <t xml:space="preserve">epoxy-flooring</t>
  </si>
  <si>
    <t xml:space="preserve">Epoxy Floor &amp; Garage Coatings</t>
  </si>
  <si>
    <t xml:space="preserve">On relaunch branch - need finished-floor photos</t>
  </si>
  <si>
    <t xml:space="preserve">kitchen-remodeling</t>
  </si>
  <si>
    <t xml:space="preserve">Kitchen Remodeling</t>
  </si>
  <si>
    <t xml:space="preserve">Dissected from whole-home work</t>
  </si>
  <si>
    <t xml:space="preserve">bathroom-remodeling</t>
  </si>
  <si>
    <t xml:space="preserve">Bathroom Remodeling</t>
  </si>
  <si>
    <t xml:space="preserve">drywall-repair</t>
  </si>
  <si>
    <t xml:space="preserve">Drywall &amp; Ceiling Repair</t>
  </si>
  <si>
    <t xml:space="preserve">Ceiling repair scopes; pairs with leak repairs</t>
  </si>
  <si>
    <t xml:space="preserve">tile-installation</t>
  </si>
  <si>
    <t xml:space="preserve">Tile Installation</t>
  </si>
  <si>
    <t xml:space="preserve">Pool waterline tile; quote system covers tile</t>
  </si>
  <si>
    <t xml:space="preserve">flooring-installation</t>
  </si>
  <si>
    <t xml:space="preserve">Flooring Installation</t>
  </si>
  <si>
    <t xml:space="preserve">CONFIRM offered standalone</t>
  </si>
  <si>
    <t xml:space="preserve">pool-tile-coping</t>
  </si>
  <si>
    <t xml:space="preserve">Pool Tile &amp; Coping</t>
  </si>
  <si>
    <t xml:space="preserve">Pool renovation job - CONFIRM complete</t>
  </si>
  <si>
    <t xml:space="preserve">interior-painting</t>
  </si>
  <si>
    <t xml:space="preserve">Interior Painting</t>
  </si>
  <si>
    <t xml:space="preserve">Owner confirmed painting</t>
  </si>
  <si>
    <t xml:space="preserve">exterior-painting</t>
  </si>
  <si>
    <t xml:space="preserve">Exterior Painting</t>
  </si>
  <si>
    <t xml:space="preserve">cabinet-painting</t>
  </si>
  <si>
    <t xml:space="preserve">Cabinet Painting &amp; Refinishing</t>
  </si>
  <si>
    <t xml:space="preserve">CONFIRM offered</t>
  </si>
  <si>
    <t xml:space="preserve">deck-fence-staining</t>
  </si>
  <si>
    <t xml:space="preserve">Deck &amp; Fence Staining</t>
  </si>
  <si>
    <t xml:space="preserve">CONFIRM offered - low ticket, add-on only</t>
  </si>
  <si>
    <t xml:space="preserve">house-washing</t>
  </si>
  <si>
    <t xml:space="preserve">House Soft Washing</t>
  </si>
  <si>
    <t xml:space="preserve">Owner confirmed power washing - low ticket, add-on</t>
  </si>
  <si>
    <t xml:space="preserve">concrete-cleaning</t>
  </si>
  <si>
    <t xml:space="preserve">Driveway &amp; Concrete Cleaning</t>
  </si>
  <si>
    <t xml:space="preserve">roof-cleaning</t>
  </si>
  <si>
    <t xml:space="preserve">Roof Soft Washing</t>
  </si>
  <si>
    <t xml:space="preserve">Countertops</t>
  </si>
  <si>
    <t xml:space="preserve">granite-countertops</t>
  </si>
  <si>
    <t xml:space="preserve">Granite Countertops</t>
  </si>
  <si>
    <t xml:space="preserve">On relaunch branch</t>
  </si>
  <si>
    <t xml:space="preserve">epoxy-countertops</t>
  </si>
  <si>
    <t xml:space="preserve">Epoxy &amp; River Countertops</t>
  </si>
  <si>
    <t xml:space="preserve">On relaunch branch + photos</t>
  </si>
  <si>
    <t xml:space="preserve">quartz-countertops</t>
  </si>
  <si>
    <t xml:space="preserve">Quartz Countertops</t>
  </si>
  <si>
    <t xml:space="preserve">countertop-resurfacing</t>
  </si>
  <si>
    <t xml:space="preserve">Countertop Resurfacing</t>
  </si>
  <si>
    <t xml:space="preserve">Town</t>
  </si>
  <si>
    <t xml:space="preserve">County</t>
  </si>
  <si>
    <t xml:space="preserve">Drive from Dale (min, est.)</t>
  </si>
  <si>
    <t xml:space="preserve">Zone</t>
  </si>
  <si>
    <t xml:space="preserve">What we take on (zone rule)</t>
  </si>
  <si>
    <t xml:space="preserve">Min job size (you set)</t>
  </si>
  <si>
    <t xml:space="preserve">Completed jobs here (fill in)</t>
  </si>
  <si>
    <t xml:space="preserve">Pages generated</t>
  </si>
  <si>
    <t xml:space="preserve">Town page status</t>
  </si>
  <si>
    <t xml:space="preserve">(austin)</t>
  </si>
  <si>
    <t xml:space="preserve">Austin</t>
  </si>
  <si>
    <t xml:space="preserve">Travis (also Williamson, Hays)</t>
  </si>
  <si>
    <t xml:space="preserve">Metro</t>
  </si>
  <si>
    <t xml:space="preserve">Covered by home + service pages; no town page</t>
  </si>
  <si>
    <t xml:space="preserve">Villa Park, Huntridge (in progress/quoted)</t>
  </si>
  <si>
    <t xml:space="preserve">dale</t>
  </si>
  <si>
    <t xml:space="preserve">Dale</t>
  </si>
  <si>
    <t xml:space="preserve">Caldwell</t>
  </si>
  <si>
    <t xml:space="preserve">South core</t>
  </si>
  <si>
    <t xml:space="preserve">All services incl. add-ons</t>
  </si>
  <si>
    <t xml:space="preserve">san-marcos</t>
  </si>
  <si>
    <t xml:space="preserve">San Marcos</t>
  </si>
  <si>
    <t xml:space="preserve">Hays (also Caldwell/Guadalupe)</t>
  </si>
  <si>
    <t xml:space="preserve">lockhart</t>
  </si>
  <si>
    <t xml:space="preserve">Lockhart</t>
  </si>
  <si>
    <t xml:space="preserve">bastrop</t>
  </si>
  <si>
    <t xml:space="preserve">Bastrop</t>
  </si>
  <si>
    <t xml:space="preserve">kyle</t>
  </si>
  <si>
    <t xml:space="preserve">Kyle</t>
  </si>
  <si>
    <t xml:space="preserve">Hays</t>
  </si>
  <si>
    <t xml:space="preserve">buda</t>
  </si>
  <si>
    <t xml:space="preserve">Buda</t>
  </si>
  <si>
    <t xml:space="preserve">manor</t>
  </si>
  <si>
    <t xml:space="preserve">Manor</t>
  </si>
  <si>
    <t xml:space="preserve">Travis</t>
  </si>
  <si>
    <t xml:space="preserve">East / metro</t>
  </si>
  <si>
    <t xml:space="preserve">Roofing + remodeling; no low-ticket add-ons</t>
  </si>
  <si>
    <t xml:space="preserve">pflugerville</t>
  </si>
  <si>
    <t xml:space="preserve">Pflugerville</t>
  </si>
  <si>
    <t xml:space="preserve">Travis (also Williamson)</t>
  </si>
  <si>
    <t xml:space="preserve">round-rock</t>
  </si>
  <si>
    <t xml:space="preserve">Round Rock</t>
  </si>
  <si>
    <t xml:space="preserve">Williamson (also Travis)</t>
  </si>
  <si>
    <t xml:space="preserve">North</t>
  </si>
  <si>
    <t xml:space="preserve">Roofing replacement, metal, commercial, new construction only</t>
  </si>
  <si>
    <t xml:space="preserve">suggested: $8k+</t>
  </si>
  <si>
    <t xml:space="preserve">hutto</t>
  </si>
  <si>
    <t xml:space="preserve">Hutto</t>
  </si>
  <si>
    <t xml:space="preserve">Williamson</t>
  </si>
  <si>
    <t xml:space="preserve">cedar-park</t>
  </si>
  <si>
    <t xml:space="preserve">Cedar Park</t>
  </si>
  <si>
    <t xml:space="preserve">leander</t>
  </si>
  <si>
    <t xml:space="preserve">Leander</t>
  </si>
  <si>
    <t xml:space="preserve">georgetown</t>
  </si>
  <si>
    <t xml:space="preserve">Georgetown</t>
  </si>
  <si>
    <t xml:space="preserve">Drive times are off-peak estimates from Dale. Min job size is a council suggestion for north-zone towns - set your own.</t>
  </si>
  <si>
    <t xml:space="preserve">Keyword (paste into Planner)</t>
  </si>
  <si>
    <t xml:space="preserve">Target path</t>
  </si>
  <si>
    <t xml:space="preserve">Note</t>
  </si>
  <si>
    <t xml:space="preserve">Avg monthly searches</t>
  </si>
  <si>
    <t xml:space="preserve">Competition</t>
  </si>
  <si>
    <t xml:space="preserve">Top-of-page bid low ($)</t>
  </si>
  <si>
    <t xml:space="preserve">Top-of-page bid high ($)</t>
  </si>
  <si>
    <t xml:space="preserve">roofing company austin</t>
  </si>
  <si>
    <t xml:space="preserve">roofers austin tx</t>
  </si>
  <si>
    <t xml:space="preserve">best roofing company austin</t>
  </si>
  <si>
    <t xml:space="preserve">Map-pack / GBP-driven - a page can't 'own' this; tracks demand only</t>
  </si>
  <si>
    <t xml:space="preserve">roofers near me</t>
  </si>
  <si>
    <t xml:space="preserve">GBP-driven</t>
  </si>
  <si>
    <t xml:space="preserve">roofing companies near me</t>
  </si>
  <si>
    <t xml:space="preserve">roof repair near me</t>
  </si>
  <si>
    <t xml:space="preserve">roof replacement near me</t>
  </si>
  <si>
    <t xml:space="preserve">metal roofing contractors near me</t>
  </si>
  <si>
    <t xml:space="preserve">remodeling contractors near me</t>
  </si>
  <si>
    <t xml:space="preserve">pressure washing near me</t>
  </si>
  <si>
    <t xml:space="preserve">countertop installers near me</t>
  </si>
  <si>
    <t xml:space="preserve">roofing subcontractor</t>
  </si>
  <si>
    <t xml:space="preserve">pressure washing austin</t>
  </si>
  <si>
    <t xml:space="preserve">power washing austin</t>
  </si>
  <si>
    <t xml:space="preserve">roof replacement austin tx</t>
  </si>
  <si>
    <t xml:space="preserve">reroof austin</t>
  </si>
  <si>
    <t xml:space="preserve">roof replacement company austin</t>
  </si>
  <si>
    <t xml:space="preserve">new roof austin</t>
  </si>
  <si>
    <t xml:space="preserve">roof repair austin tx</t>
  </si>
  <si>
    <t xml:space="preserve">roof leak repair austin</t>
  </si>
  <si>
    <t xml:space="preserve">roof repair company austin</t>
  </si>
  <si>
    <t xml:space="preserve">metal roofing austin tx</t>
  </si>
  <si>
    <t xml:space="preserve">standing seam metal roof austin</t>
  </si>
  <si>
    <t xml:space="preserve">metal roof contractor austin</t>
  </si>
  <si>
    <t xml:space="preserve">custom metal fascia</t>
  </si>
  <si>
    <t xml:space="preserve">curved standing seam panels</t>
  </si>
  <si>
    <t xml:space="preserve">tpo roofing austin tx</t>
  </si>
  <si>
    <t xml:space="preserve">flat roof repair austin</t>
  </si>
  <si>
    <t xml:space="preserve">flat roof replacement austin</t>
  </si>
  <si>
    <t xml:space="preserve">commercial roofing austin tx</t>
  </si>
  <si>
    <t xml:space="preserve">commercial roofing contractor austin</t>
  </si>
  <si>
    <t xml:space="preserve">commercial roof replacement austin</t>
  </si>
  <si>
    <t xml:space="preserve">commercial tpo contractor</t>
  </si>
  <si>
    <t xml:space="preserve">new construction roofing austin tx</t>
  </si>
  <si>
    <t xml:space="preserve">builder roofing contractor austin</t>
  </si>
  <si>
    <t xml:space="preserve">new home roofing austin</t>
  </si>
  <si>
    <t xml:space="preserve">hail damage roof repair austin tx</t>
  </si>
  <si>
    <t xml:space="preserve">storm damage roof repair austin</t>
  </si>
  <si>
    <t xml:space="preserve">hail damage roof inspection</t>
  </si>
  <si>
    <t xml:space="preserve">wind damage roof repair</t>
  </si>
  <si>
    <t xml:space="preserve">insurance roof inspection austin</t>
  </si>
  <si>
    <t xml:space="preserve">shingle roofing austin tx</t>
  </si>
  <si>
    <t xml:space="preserve">asphalt shingle roof austin</t>
  </si>
  <si>
    <t xml:space="preserve">architectural shingles austin</t>
  </si>
  <si>
    <t xml:space="preserve">impact resistant shingles austin</t>
  </si>
  <si>
    <t xml:space="preserve">tile roof repair austin tx</t>
  </si>
  <si>
    <t xml:space="preserve">clay tile roof repair austin</t>
  </si>
  <si>
    <t xml:space="preserve">concrete tile roof repair</t>
  </si>
  <si>
    <t xml:space="preserve">roof inspection austin tx</t>
  </si>
  <si>
    <t xml:space="preserve">free roof inspection austin</t>
  </si>
  <si>
    <t xml:space="preserve">roof inspection for home sale</t>
  </si>
  <si>
    <t xml:space="preserve">roof coating austin tx</t>
  </si>
  <si>
    <t xml:space="preserve">silicone roof coating austin</t>
  </si>
  <si>
    <t xml:space="preserve">elastomeric roof coating</t>
  </si>
  <si>
    <t xml:space="preserve">flat roof coating austin</t>
  </si>
  <si>
    <t xml:space="preserve">gutter installation austin tx</t>
  </si>
  <si>
    <t xml:space="preserve">seamless gutters austin</t>
  </si>
  <si>
    <t xml:space="preserve">gutter replacement austin</t>
  </si>
  <si>
    <t xml:space="preserve">emergency roof repair austin tx</t>
  </si>
  <si>
    <t xml:space="preserve">roof tarp service austin</t>
  </si>
  <si>
    <t xml:space="preserve">24 hour roofer austin</t>
  </si>
  <si>
    <t xml:space="preserve">whole house remodel austin</t>
  </si>
  <si>
    <t xml:space="preserve">interior renovation contractor austin</t>
  </si>
  <si>
    <t xml:space="preserve">covered patio addition austin</t>
  </si>
  <si>
    <t xml:space="preserve">patio roof austin</t>
  </si>
  <si>
    <t xml:space="preserve">garage floor coating austin</t>
  </si>
  <si>
    <t xml:space="preserve">epoxy garage floor austin</t>
  </si>
  <si>
    <t xml:space="preserve">polyaspartic floor coating</t>
  </si>
  <si>
    <t xml:space="preserve">ceiling repair austin</t>
  </si>
  <si>
    <t xml:space="preserve">water damage drywall repair austin</t>
  </si>
  <si>
    <t xml:space="preserve">bathroom tile installer austin</t>
  </si>
  <si>
    <t xml:space="preserve">backsplash installation austin</t>
  </si>
  <si>
    <t xml:space="preserve">exterior house painters austin</t>
  </si>
  <si>
    <t xml:space="preserve">house painters austin</t>
  </si>
  <si>
    <t xml:space="preserve">concrete cleaning austin</t>
  </si>
  <si>
    <t xml:space="preserve">patio pressure washing austin</t>
  </si>
  <si>
    <t xml:space="preserve">river table countertop</t>
  </si>
  <si>
    <t xml:space="preserve">live edge epoxy countertop austin</t>
  </si>
  <si>
    <t xml:space="preserve">curved standing seam roof</t>
  </si>
  <si>
    <t xml:space="preserve">tapered metal fascia</t>
  </si>
  <si>
    <t xml:space="preserve">roofing company dale</t>
  </si>
  <si>
    <t xml:space="preserve">roofing contractor dale tx</t>
  </si>
  <si>
    <t xml:space="preserve">roof repair dale</t>
  </si>
  <si>
    <t xml:space="preserve">Town page owns this until the matrix page is built</t>
  </si>
  <si>
    <t xml:space="preserve">roofing company san marcos</t>
  </si>
  <si>
    <t xml:space="preserve">roofing contractor san marcos tx</t>
  </si>
  <si>
    <t xml:space="preserve">roof repair san marcos</t>
  </si>
  <si>
    <t xml:space="preserve">roofing company lockhart</t>
  </si>
  <si>
    <t xml:space="preserve">roofing contractor lockhart tx</t>
  </si>
  <si>
    <t xml:space="preserve">roof repair lockhart</t>
  </si>
  <si>
    <t xml:space="preserve">roofing company bastrop</t>
  </si>
  <si>
    <t xml:space="preserve">roofing contractor bastrop tx</t>
  </si>
  <si>
    <t xml:space="preserve">roof repair bastrop</t>
  </si>
  <si>
    <t xml:space="preserve">roofing company kyle</t>
  </si>
  <si>
    <t xml:space="preserve">roofing contractor kyle tx</t>
  </si>
  <si>
    <t xml:space="preserve">roof repair kyle</t>
  </si>
  <si>
    <t xml:space="preserve">roofing company buda</t>
  </si>
  <si>
    <t xml:space="preserve">roofing contractor buda tx</t>
  </si>
  <si>
    <t xml:space="preserve">roof repair buda</t>
  </si>
  <si>
    <t xml:space="preserve">roofing company manor</t>
  </si>
  <si>
    <t xml:space="preserve">roofing contractor manor tx</t>
  </si>
  <si>
    <t xml:space="preserve">roof repair manor</t>
  </si>
  <si>
    <t xml:space="preserve">roofing company pflugerville</t>
  </si>
  <si>
    <t xml:space="preserve">roofing contractor pflugerville tx</t>
  </si>
  <si>
    <t xml:space="preserve">roof repair pflugerville</t>
  </si>
  <si>
    <t xml:space="preserve">roofing company round rock</t>
  </si>
  <si>
    <t xml:space="preserve">roofing contractor round rock tx</t>
  </si>
  <si>
    <t xml:space="preserve">roof repair round rock</t>
  </si>
  <si>
    <t xml:space="preserve">roofing company hutto</t>
  </si>
  <si>
    <t xml:space="preserve">roofing contractor hutto tx</t>
  </si>
  <si>
    <t xml:space="preserve">roof repair hutto</t>
  </si>
  <si>
    <t xml:space="preserve">roofing company cedar park</t>
  </si>
  <si>
    <t xml:space="preserve">roofing contractor cedar park tx</t>
  </si>
  <si>
    <t xml:space="preserve">roof repair cedar park</t>
  </si>
  <si>
    <t xml:space="preserve">roofing company leander</t>
  </si>
  <si>
    <t xml:space="preserve">roofing contractor leander tx</t>
  </si>
  <si>
    <t xml:space="preserve">roof repair leander</t>
  </si>
  <si>
    <t xml:space="preserve">roofing company georgetown</t>
  </si>
  <si>
    <t xml:space="preserve">roofing contractor georgetown tx</t>
  </si>
  <si>
    <t xml:space="preserve">roof repair georgetown</t>
  </si>
  <si>
    <t xml:space="preserve">new roof cost austin</t>
  </si>
  <si>
    <t xml:space="preserve">cost per square roofing austin</t>
  </si>
  <si>
    <t xml:space="preserve">is a metal roof worth it in texas</t>
  </si>
  <si>
    <t xml:space="preserve">best roof for texas heat</t>
  </si>
  <si>
    <t xml:space="preserve">what does hail damage look like on shingles</t>
  </si>
  <si>
    <t xml:space="preserve">hail damage metal roof</t>
  </si>
  <si>
    <t xml:space="preserve">shingle roof lifespan texas</t>
  </si>
  <si>
    <t xml:space="preserve">metal roof lifespan</t>
  </si>
  <si>
    <t xml:space="preserve">tile roof underlayment replacement</t>
  </si>
  <si>
    <t xml:space="preserve">reuse roof tiles</t>
  </si>
  <si>
    <t xml:space="preserve">Priority</t>
  </si>
  <si>
    <t xml:space="preserve">Item</t>
  </si>
  <si>
    <t xml:space="preserve">Action</t>
  </si>
  <si>
    <t xml:space="preserve">Why</t>
  </si>
  <si>
    <t xml:space="preserve">Google Business Profile</t>
  </si>
  <si>
    <t xml:space="preserve">Primary category Roofing contractor; add General contractor only if provable; Services list mirrors roofing pages; service areas = 14 towns (within 2-hr limit); hide address if customers don't visit</t>
  </si>
  <si>
    <t xml:space="preserve">Primary category is the top local-pack factor; proximity to Dale limits map-pack reach in north metro.</t>
  </si>
  <si>
    <t xml:space="preserve">Review process</t>
  </si>
  <si>
    <t xml:space="preserve">Same-day review request at every job close (incl. GCs); ask them to mention the service + town in their own words; never incentivize or script</t>
  </si>
  <si>
    <t xml:space="preserve">Review volume/recency drives map pack + AI picks.</t>
  </si>
  <si>
    <t xml:space="preserve">Bing Places</t>
  </si>
  <si>
    <t xml:space="preserve">Import from GBP; verify</t>
  </si>
  <si>
    <t xml:space="preserve">ChatGPT local results lean on Bing data.</t>
  </si>
  <si>
    <t xml:space="preserve">NAP consistency</t>
  </si>
  <si>
    <t xml:space="preserve">Identical name / phone (512) 629-1342 / location line on site, GBP, Bing, BBB, Yelp, Facebook, Nextdoor</t>
  </si>
  <si>
    <t xml:space="preserve">Entity consistency.</t>
  </si>
  <si>
    <t xml:space="preserve">Yelp, BBB, Facebook</t>
  </si>
  <si>
    <t xml:space="preserve">Complete profiles with real project photos</t>
  </si>
  <si>
    <t xml:space="preserve">Perplexity/ChatGPT cite these listings heavily.</t>
  </si>
  <si>
    <t xml:space="preserve">Angi + Thumbtack (free profiles)</t>
  </si>
  <si>
    <t xml:space="preserve">Claim free profiles; don't buy leads</t>
  </si>
  <si>
    <t xml:space="preserve">Appear in AI citations for home services.</t>
  </si>
  <si>
    <t xml:space="preserve">Apple Business Connect</t>
  </si>
  <si>
    <t xml:space="preserve">Claim listing</t>
  </si>
  <si>
    <t xml:space="preserve">Cheap, feeds Apple Maps/Siri.</t>
  </si>
  <si>
    <t xml:space="preserve">Manufacturer / supplier directories</t>
  </si>
  <si>
    <t xml:space="preserve">Ask suppliers (e.g., McElroy dealer network) about installer listings</t>
  </si>
  <si>
    <t xml:space="preserve">Authoritative backlinks + citations.</t>
  </si>
  <si>
    <t xml:space="preserve">GC / builder partner links</t>
  </si>
  <si>
    <t xml:space="preserve">Ask builders to link the project page for their job</t>
  </si>
  <si>
    <t xml:space="preserve">Relevant local links.</t>
  </si>
  <si>
    <t xml:space="preserve">Local press</t>
  </si>
  <si>
    <t xml:space="preserve">Pitch Travis County Jail + UT Batter's Eye stories to local outlets</t>
  </si>
  <si>
    <t xml:space="preserve">Prominence + AI-citable third-party mention.</t>
  </si>
  <si>
    <t xml:space="preserve">Chambers of commerce</t>
  </si>
  <si>
    <t xml:space="preserve">Bastrop, Lockhart, Kyle (south-core zone)</t>
  </si>
  <si>
    <t xml:space="preserve">Local citations where map-pack wins are realistic.</t>
  </si>
  <si>
    <t xml:space="preserve">Monthly AI baseline</t>
  </si>
  <si>
    <t xml:space="preserve">Run the 'AI Baseline' tab prompts on the 1st of each month; record cited Y/N</t>
  </si>
  <si>
    <t xml:space="preserve">Only way to know if any of this works.</t>
  </si>
  <si>
    <t xml:space="preserve">Proof workflow (crew lead, ~10 min/job)</t>
  </si>
  <si>
    <t xml:space="preserve">Before: 6 photos (4 elevations, problem close-up, street sign). During: 4 (tear-off, deck/underlayment, flashing, crew). After: 6 same angles + 1 wide. Folder YYYY-MM_town_service_lastname. Marco: 5-line card (town, scope, squares/material, ticket range, problem-&gt;fix). Update Service Areas 'Completed jobs' monthly - that's what un-gates town pages.</t>
  </si>
  <si>
    <t xml:space="preserve">Proof is the bottleneck for every gated page.</t>
  </si>
  <si>
    <t xml:space="preserve">Prompt (run in ChatGPT, Gemini, Google AI Mode, Perplexity)</t>
  </si>
  <si>
    <t xml:space="preserve">Oct 2026
cited in # of 4</t>
  </si>
  <si>
    <t xml:space="preserve">Nov 2026
cited in # of 4</t>
  </si>
  <si>
    <t xml:space="preserve">Dec 2026
cited in # of 4</t>
  </si>
  <si>
    <t xml:space="preserve">Jan 2027
cited in # of 4</t>
  </si>
  <si>
    <t xml:space="preserve">Feb 2027
cited in # of 4</t>
  </si>
  <si>
    <t xml:space="preserve">Mar 2027
cited in # of 4</t>
  </si>
  <si>
    <t xml:space="preserve">best roofer in Austin TX</t>
  </si>
  <si>
    <t xml:space="preserve">who installs standing seam metal roofs in Austin</t>
  </si>
  <si>
    <t xml:space="preserve">roofing contractor near Dale TX</t>
  </si>
  <si>
    <t xml:space="preserve">roofer in Lockhart TX</t>
  </si>
  <si>
    <t xml:space="preserve">roofer in Bastrop TX</t>
  </si>
  <si>
    <t xml:space="preserve">roofer in San Marcos TX</t>
  </si>
  <si>
    <t xml:space="preserve">roofer in Kyle TX</t>
  </si>
  <si>
    <t xml:space="preserve">commercial TPO roofing contractor Austin</t>
  </si>
  <si>
    <t xml:space="preserve">roofing subcontractor for home builders Austin</t>
  </si>
  <si>
    <t xml:space="preserve">hail damage roof repair Austin</t>
  </si>
  <si>
    <t xml:space="preserve">how much does a roof replacement cost in Austin</t>
  </si>
  <si>
    <t xml:space="preserve">custom curved metal roof panels Texas</t>
  </si>
  <si>
    <t xml:space="preserve">family owned roofing company Central Texas</t>
  </si>
  <si>
    <t xml:space="preserve">epoxy countertops Austin</t>
  </si>
  <si>
    <t xml:space="preserve">remodeling contractor Bastrop TX</t>
  </si>
  <si>
    <t xml:space="preserve">Total citations (max 60)</t>
  </si>
  <si>
    <t xml:space="preserve">Seat</t>
  </si>
  <si>
    <t xml:space="preserve">Verdict</t>
  </si>
  <si>
    <t xml:space="preserve">Key findings</t>
  </si>
  <si>
    <t xml:space="preserve">What was done</t>
  </si>
  <si>
    <t xml:space="preserve">Local SEO</t>
  </si>
  <si>
    <t xml:space="preserve">Approve with changes</t>
  </si>
  <si>
    <t xml:space="preserve">Gate city pages too; town page owns 'roof repair &lt;town&gt;' (so no repair matrix pages); collapse trade hubs; fix cannibalization; Phase 1 ~22 pages; off-site work &gt; pages</t>
  </si>
  <si>
    <t xml:space="preserve">Adopted (cities gated; Dale + San Marcos lead; hubs collapsed; conflicts removed; Phase 1 cut)</t>
  </si>
  <si>
    <t xml:space="preserve">AI search</t>
  </si>
  <si>
    <t xml:space="preserve">AI answers come from Bing/GBP/Yelp/BBB, not your site alone; JS portfolio invisible to crawlers; schema small + correct; required-fact copy fields</t>
  </si>
  <si>
    <t xml:space="preserve">Adopted (Off-site tab, AI Baseline tab, static project pages, schema fixes, Copy column)</t>
  </si>
  <si>
    <t xml:space="preserve">Owner economics</t>
  </si>
  <si>
    <t xml:space="preserve">Roofing first; low-ticket trades as add-ons; Phase 1 ~22; cities by drive time from Dale; add /for-restoration/</t>
  </si>
  <si>
    <t xml:space="preserve">Adopted. Partly overridden: kept all trades you named as sections on /remodeling/ instead of cutting them</t>
  </si>
  <si>
    <t xml:space="preserve">Red team</t>
  </si>
  <si>
    <t xml:space="preserve">Competitor photos + fake testimonials on live site; insurance copy breaks Tex. Ins. Code 4102.163; unsourced claims; placeholders</t>
  </si>
  <si>
    <t xml:space="preserve">Adopted - verified in repo + TDI; moved to Phase 0 tab</t>
  </si>
  <si>
    <t xml:space="preserve">Disagreement</t>
  </si>
  <si>
    <t xml:space="preserve">Merge Commercial + Flat/TPO pages? (economics: yes; SEO: no)</t>
  </si>
  <si>
    <t xml:space="preserve">Kept separate - different buyers; revisit with Planner data</t>
  </si>
  <si>
    <t xml:space="preserve">Cut pressure washing/staining entirely (economics) vs. keep (owner said offered)</t>
  </si>
  <si>
    <t xml:space="preserve">Kept as sections on /remodeling/ with zone limits - your call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</si>
</sst>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;\-#,##0;\-"/>
    <numFmt numFmtId="167" formatCode="#,##0"/>
    <numFmt numFmtId="168" formatCode="@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733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B2B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2B2B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>
          <bgColor rgb="FFF2F2F2"/>
        </patternFill>
      </fill>
    </dxf>
    <dxf>
      <fill>
        <patternFill>
          <bgColor rgb="FFEAF1F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C0C0C0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23.8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23.8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 t="s">
        <v>17</v>
      </c>
    </row>
    <row r="23" customFormat="false" ht="23.8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3" t="s">
        <v>19</v>
      </c>
    </row>
    <row r="26" customFormat="false" ht="23.85" hidden="false" customHeight="false" outlineLevel="0" collapsed="false">
      <c r="B26" s="2" t="s">
        <v>20</v>
      </c>
    </row>
    <row r="27" customFormat="false" ht="23.85" hidden="false" customHeight="false" outlineLevel="0" collapsed="false">
      <c r="B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5" min="4" style="0" width="46"/>
    <col collapsed="false" customWidth="true" hidden="false" outlineLevel="0" max="6" min="6" style="0" width="22"/>
    <col collapsed="false" customWidth="true" hidden="false" outlineLevel="0" max="7" min="7" style="0" width="8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customFormat="false" ht="35.05" hidden="false" customHeight="false" outlineLevel="0" collapsed="false">
      <c r="A2" s="6" t="n">
        <v>1</v>
      </c>
      <c r="B2" s="7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8"/>
    </row>
    <row r="3" customFormat="false" ht="23.85" hidden="false" customHeight="false" outlineLevel="0" collapsed="false">
      <c r="A3" s="6" t="n">
        <v>2</v>
      </c>
      <c r="B3" s="7" t="s">
        <v>29</v>
      </c>
      <c r="C3" s="6" t="s">
        <v>34</v>
      </c>
      <c r="D3" s="6" t="s">
        <v>35</v>
      </c>
      <c r="E3" s="6" t="s">
        <v>36</v>
      </c>
      <c r="F3" s="6" t="s">
        <v>37</v>
      </c>
      <c r="G3" s="8"/>
    </row>
    <row r="4" customFormat="false" ht="35.05" hidden="false" customHeight="false" outlineLevel="0" collapsed="false">
      <c r="A4" s="6" t="n">
        <v>3</v>
      </c>
      <c r="B4" s="7" t="s">
        <v>29</v>
      </c>
      <c r="C4" s="6" t="s">
        <v>38</v>
      </c>
      <c r="D4" s="6" t="s">
        <v>39</v>
      </c>
      <c r="E4" s="6" t="s">
        <v>40</v>
      </c>
      <c r="F4" s="6" t="s">
        <v>41</v>
      </c>
      <c r="G4" s="8"/>
    </row>
    <row r="5" customFormat="false" ht="23.85" hidden="false" customHeight="false" outlineLevel="0" collapsed="false">
      <c r="A5" s="6" t="n">
        <v>4</v>
      </c>
      <c r="B5" s="7" t="s">
        <v>29</v>
      </c>
      <c r="C5" s="6" t="s">
        <v>42</v>
      </c>
      <c r="D5" s="6" t="s">
        <v>43</v>
      </c>
      <c r="E5" s="6" t="s">
        <v>44</v>
      </c>
      <c r="F5" s="6" t="s">
        <v>45</v>
      </c>
      <c r="G5" s="8"/>
    </row>
    <row r="6" customFormat="false" ht="35.05" hidden="false" customHeight="false" outlineLevel="0" collapsed="false">
      <c r="A6" s="6" t="n">
        <v>5</v>
      </c>
      <c r="B6" s="6" t="s">
        <v>46</v>
      </c>
      <c r="C6" s="6" t="s">
        <v>47</v>
      </c>
      <c r="D6" s="6" t="s">
        <v>48</v>
      </c>
      <c r="E6" s="6" t="s">
        <v>49</v>
      </c>
      <c r="F6" s="6" t="s">
        <v>50</v>
      </c>
      <c r="G6" s="8"/>
    </row>
    <row r="7" customFormat="false" ht="23.85" hidden="false" customHeight="false" outlineLevel="0" collapsed="false">
      <c r="A7" s="6" t="n">
        <v>6</v>
      </c>
      <c r="B7" s="6" t="s">
        <v>46</v>
      </c>
      <c r="C7" s="6" t="s">
        <v>51</v>
      </c>
      <c r="D7" s="6" t="s">
        <v>52</v>
      </c>
      <c r="E7" s="6" t="s">
        <v>53</v>
      </c>
      <c r="F7" s="6" t="s">
        <v>54</v>
      </c>
      <c r="G7" s="8"/>
    </row>
    <row r="8" customFormat="false" ht="15" hidden="false" customHeight="false" outlineLevel="0" collapsed="false">
      <c r="A8" s="6" t="n">
        <v>7</v>
      </c>
      <c r="B8" s="6" t="s">
        <v>46</v>
      </c>
      <c r="C8" s="6" t="s">
        <v>55</v>
      </c>
      <c r="D8" s="6" t="s">
        <v>56</v>
      </c>
      <c r="E8" s="6" t="s">
        <v>57</v>
      </c>
      <c r="F8" s="6" t="s">
        <v>58</v>
      </c>
      <c r="G8" s="8"/>
    </row>
    <row r="9" customFormat="false" ht="23.85" hidden="false" customHeight="false" outlineLevel="0" collapsed="false">
      <c r="A9" s="6" t="n">
        <v>8</v>
      </c>
      <c r="B9" s="6" t="s">
        <v>46</v>
      </c>
      <c r="C9" s="6" t="s">
        <v>59</v>
      </c>
      <c r="D9" s="6" t="s">
        <v>60</v>
      </c>
      <c r="E9" s="6" t="s">
        <v>61</v>
      </c>
      <c r="F9" s="6" t="s">
        <v>62</v>
      </c>
      <c r="G9" s="8"/>
    </row>
    <row r="10" customFormat="false" ht="15" hidden="false" customHeight="false" outlineLevel="0" collapsed="false">
      <c r="A10" s="6" t="n">
        <v>9</v>
      </c>
      <c r="B10" s="6" t="s">
        <v>46</v>
      </c>
      <c r="C10" s="6" t="s">
        <v>63</v>
      </c>
      <c r="D10" s="6" t="s">
        <v>64</v>
      </c>
      <c r="E10" s="6" t="s">
        <v>65</v>
      </c>
      <c r="F10" s="6" t="s">
        <v>66</v>
      </c>
      <c r="G10" s="8"/>
    </row>
    <row r="11" customFormat="false" ht="23.85" hidden="false" customHeight="false" outlineLevel="0" collapsed="false">
      <c r="A11" s="6" t="n">
        <v>10</v>
      </c>
      <c r="B11" s="6" t="s">
        <v>46</v>
      </c>
      <c r="C11" s="6" t="s">
        <v>67</v>
      </c>
      <c r="D11" s="6" t="s">
        <v>68</v>
      </c>
      <c r="E11" s="6" t="s">
        <v>69</v>
      </c>
      <c r="F11" s="6" t="s">
        <v>70</v>
      </c>
      <c r="G11" s="8"/>
    </row>
    <row r="12" customFormat="false" ht="23.85" hidden="false" customHeight="false" outlineLevel="0" collapsed="false">
      <c r="A12" s="6" t="n">
        <v>11</v>
      </c>
      <c r="B12" s="6" t="s">
        <v>71</v>
      </c>
      <c r="C12" s="6" t="s">
        <v>72</v>
      </c>
      <c r="D12" s="6" t="s">
        <v>73</v>
      </c>
      <c r="E12" s="6" t="s">
        <v>74</v>
      </c>
      <c r="F12" s="6" t="s">
        <v>66</v>
      </c>
      <c r="G12" s="8"/>
    </row>
    <row r="13" customFormat="false" ht="23.85" hidden="false" customHeight="false" outlineLevel="0" collapsed="false">
      <c r="A13" s="6" t="n">
        <v>12</v>
      </c>
      <c r="B13" s="6" t="s">
        <v>71</v>
      </c>
      <c r="C13" s="6" t="s">
        <v>75</v>
      </c>
      <c r="D13" s="6" t="s">
        <v>76</v>
      </c>
      <c r="E13" s="6" t="s">
        <v>77</v>
      </c>
      <c r="F13" s="6" t="s">
        <v>66</v>
      </c>
      <c r="G13" s="8"/>
    </row>
    <row r="14" customFormat="false" ht="23.85" hidden="false" customHeight="false" outlineLevel="0" collapsed="false">
      <c r="A14" s="6" t="n">
        <v>13</v>
      </c>
      <c r="B14" s="6" t="s">
        <v>71</v>
      </c>
      <c r="C14" s="6" t="s">
        <v>78</v>
      </c>
      <c r="D14" s="6" t="s">
        <v>79</v>
      </c>
      <c r="E14" s="6" t="s">
        <v>80</v>
      </c>
      <c r="F14" s="6" t="s">
        <v>45</v>
      </c>
      <c r="G14" s="8"/>
    </row>
    <row r="15" customFormat="false" ht="23.85" hidden="false" customHeight="false" outlineLevel="0" collapsed="false">
      <c r="A15" s="6" t="n">
        <v>14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66</v>
      </c>
      <c r="G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38"/>
    <col collapsed="false" customWidth="true" hidden="false" outlineLevel="0" max="8" min="8" style="0" width="12"/>
    <col collapsed="false" customWidth="true" hidden="false" outlineLevel="0" max="9" min="9" style="0" width="44"/>
    <col collapsed="false" customWidth="true" hidden="false" outlineLevel="0" max="10" min="10" style="0" width="7"/>
    <col collapsed="false" customWidth="true" hidden="false" outlineLevel="0" max="11" min="11" style="0" width="38"/>
    <col collapsed="false" customWidth="true" hidden="false" outlineLevel="0" max="12" min="12" style="0" width="40"/>
    <col collapsed="false" customWidth="true" hidden="false" outlineLevel="0" max="13" min="13" style="0" width="7"/>
    <col collapsed="false" customWidth="true" hidden="false" outlineLevel="0" max="14" min="14" style="0" width="60"/>
    <col collapsed="false" customWidth="true" hidden="false" outlineLevel="0" max="16" min="15" style="0" width="40"/>
    <col collapsed="false" customWidth="true" hidden="false" outlineLevel="0" max="18" min="17" style="0" width="9"/>
    <col collapsed="false" customWidth="true" hidden="false" outlineLevel="0" max="19" min="19" style="0" width="40"/>
    <col collapsed="false" customWidth="true" hidden="false" outlineLevel="0" max="20" min="20" style="0" width="11"/>
    <col collapsed="false" customWidth="true" hidden="false" outlineLevel="0" max="21" min="21" style="0" width="46"/>
  </cols>
  <sheetData>
    <row r="1" customFormat="false" ht="30" hidden="false" customHeight="true" outlineLevel="0" collapsed="false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5" t="s">
        <v>104</v>
      </c>
      <c r="U1" s="5" t="s">
        <v>105</v>
      </c>
    </row>
    <row r="2" customFormat="false" ht="57.45" hidden="false" customHeight="false" outlineLevel="0" collapsed="false">
      <c r="A2" s="6" t="s">
        <v>106</v>
      </c>
      <c r="B2" s="6" t="n">
        <v>1</v>
      </c>
      <c r="C2" s="6" t="s">
        <v>107</v>
      </c>
      <c r="D2" s="6" t="s">
        <v>108</v>
      </c>
      <c r="E2" s="6" t="s">
        <v>109</v>
      </c>
      <c r="F2" s="6" t="s">
        <v>110</v>
      </c>
      <c r="G2" s="6" t="s">
        <v>111</v>
      </c>
      <c r="H2" s="6" t="s">
        <v>112</v>
      </c>
      <c r="I2" s="6" t="s">
        <v>113</v>
      </c>
      <c r="J2" s="9" t="n">
        <f aca="false">IF(LEFT(I2,1)="(","",LEN(I2))</f>
        <v>44</v>
      </c>
      <c r="K2" s="6" t="s">
        <v>114</v>
      </c>
      <c r="L2" s="8"/>
      <c r="M2" s="6" t="str">
        <f aca="false">IF(L2="","",LEN(L2))</f>
        <v/>
      </c>
      <c r="N2" s="6" t="s">
        <v>115</v>
      </c>
      <c r="O2" s="6" t="s">
        <v>116</v>
      </c>
      <c r="P2" s="6" t="s">
        <v>117</v>
      </c>
      <c r="Q2" s="8" t="s">
        <v>118</v>
      </c>
      <c r="R2" s="6" t="s">
        <v>119</v>
      </c>
      <c r="S2" s="6" t="s">
        <v>120</v>
      </c>
      <c r="T2" s="10" t="n">
        <f aca="false">SUMIF('Seed Keywords'!$C:$C,E2,'Seed Keywords'!$E:$E)+SUMIF('Seed Keywords'!$C:$C,E2&amp;"#*",'Seed Keywords'!$E:$E)</f>
        <v>0</v>
      </c>
      <c r="U2" s="6" t="s">
        <v>121</v>
      </c>
    </row>
    <row r="3" customFormat="false" ht="23.85" hidden="false" customHeight="false" outlineLevel="0" collapsed="false">
      <c r="A3" s="6" t="s">
        <v>122</v>
      </c>
      <c r="B3" s="6" t="n">
        <v>1</v>
      </c>
      <c r="C3" s="6" t="s">
        <v>107</v>
      </c>
      <c r="D3" s="6" t="s">
        <v>123</v>
      </c>
      <c r="E3" s="6" t="s">
        <v>124</v>
      </c>
      <c r="F3" s="6" t="s">
        <v>125</v>
      </c>
      <c r="G3" s="6"/>
      <c r="H3" s="6" t="s">
        <v>126</v>
      </c>
      <c r="I3" s="6" t="s">
        <v>127</v>
      </c>
      <c r="J3" s="9" t="n">
        <f aca="false">IF(LEFT(I3,1)="(","",LEN(I3))</f>
        <v>49</v>
      </c>
      <c r="K3" s="6" t="s">
        <v>128</v>
      </c>
      <c r="L3" s="8"/>
      <c r="M3" s="6" t="str">
        <f aca="false">IF(L3="","",LEN(L3))</f>
        <v/>
      </c>
      <c r="N3" s="6" t="s">
        <v>129</v>
      </c>
      <c r="O3" s="6" t="s">
        <v>130</v>
      </c>
      <c r="P3" s="6" t="s">
        <v>131</v>
      </c>
      <c r="Q3" s="8" t="s">
        <v>132</v>
      </c>
      <c r="R3" s="6" t="s">
        <v>119</v>
      </c>
      <c r="S3" s="6" t="s">
        <v>133</v>
      </c>
      <c r="T3" s="10" t="n">
        <f aca="false">SUMIF('Seed Keywords'!$C:$C,E3,'Seed Keywords'!$E:$E)+SUMIF('Seed Keywords'!$C:$C,E3&amp;"#*",'Seed Keywords'!$E:$E)</f>
        <v>0</v>
      </c>
      <c r="U3" s="6" t="s">
        <v>134</v>
      </c>
    </row>
    <row r="4" customFormat="false" ht="15" hidden="false" customHeight="false" outlineLevel="0" collapsed="false">
      <c r="A4" s="6" t="s">
        <v>135</v>
      </c>
      <c r="B4" s="6" t="n">
        <v>1</v>
      </c>
      <c r="C4" s="6" t="s">
        <v>107</v>
      </c>
      <c r="D4" s="6" t="s">
        <v>123</v>
      </c>
      <c r="E4" s="6" t="s">
        <v>136</v>
      </c>
      <c r="F4" s="6" t="s">
        <v>137</v>
      </c>
      <c r="G4" s="6"/>
      <c r="H4" s="6" t="s">
        <v>126</v>
      </c>
      <c r="I4" s="6" t="s">
        <v>138</v>
      </c>
      <c r="J4" s="9" t="n">
        <f aca="false">IF(LEFT(I4,1)="(","",LEN(I4))</f>
        <v>49</v>
      </c>
      <c r="K4" s="6" t="s">
        <v>139</v>
      </c>
      <c r="L4" s="8"/>
      <c r="M4" s="6" t="str">
        <f aca="false">IF(L4="","",LEN(L4))</f>
        <v/>
      </c>
      <c r="N4" s="6" t="s">
        <v>140</v>
      </c>
      <c r="O4" s="6" t="s">
        <v>141</v>
      </c>
      <c r="P4" s="6" t="s">
        <v>131</v>
      </c>
      <c r="Q4" s="8" t="s">
        <v>132</v>
      </c>
      <c r="R4" s="6" t="s">
        <v>119</v>
      </c>
      <c r="S4" s="6" t="s">
        <v>142</v>
      </c>
      <c r="T4" s="10" t="n">
        <f aca="false">SUMIF('Seed Keywords'!$C:$C,E4,'Seed Keywords'!$E:$E)+SUMIF('Seed Keywords'!$C:$C,E4&amp;"#*",'Seed Keywords'!$E:$E)</f>
        <v>0</v>
      </c>
      <c r="U4" s="6" t="s">
        <v>143</v>
      </c>
    </row>
    <row r="5" customFormat="false" ht="57.45" hidden="false" customHeight="false" outlineLevel="0" collapsed="false">
      <c r="A5" s="6" t="s">
        <v>144</v>
      </c>
      <c r="B5" s="6" t="n">
        <v>1</v>
      </c>
      <c r="C5" s="6" t="s">
        <v>145</v>
      </c>
      <c r="D5" s="6" t="s">
        <v>123</v>
      </c>
      <c r="E5" s="6" t="s">
        <v>146</v>
      </c>
      <c r="F5" s="6" t="s">
        <v>147</v>
      </c>
      <c r="G5" s="6"/>
      <c r="H5" s="6" t="s">
        <v>112</v>
      </c>
      <c r="I5" s="6" t="s">
        <v>148</v>
      </c>
      <c r="J5" s="9" t="n">
        <f aca="false">IF(LEFT(I5,1)="(","",LEN(I5))</f>
        <v>59</v>
      </c>
      <c r="K5" s="6" t="s">
        <v>149</v>
      </c>
      <c r="L5" s="8"/>
      <c r="M5" s="6" t="str">
        <f aca="false">IF(L5="","",LEN(L5))</f>
        <v/>
      </c>
      <c r="N5" s="6" t="s">
        <v>150</v>
      </c>
      <c r="O5" s="6" t="s">
        <v>151</v>
      </c>
      <c r="P5" s="6" t="s">
        <v>131</v>
      </c>
      <c r="Q5" s="8" t="s">
        <v>132</v>
      </c>
      <c r="R5" s="6" t="s">
        <v>119</v>
      </c>
      <c r="S5" s="6" t="s">
        <v>152</v>
      </c>
      <c r="T5" s="10" t="n">
        <f aca="false">SUMIF('Seed Keywords'!$C:$C,E5,'Seed Keywords'!$E:$E)+SUMIF('Seed Keywords'!$C:$C,E5&amp;"#*",'Seed Keywords'!$E:$E)</f>
        <v>0</v>
      </c>
      <c r="U5" s="6" t="s">
        <v>153</v>
      </c>
    </row>
    <row r="6" customFormat="false" ht="35.05" hidden="false" customHeight="false" outlineLevel="0" collapsed="false">
      <c r="A6" s="6" t="s">
        <v>154</v>
      </c>
      <c r="B6" s="6" t="n">
        <v>1</v>
      </c>
      <c r="C6" s="6" t="s">
        <v>145</v>
      </c>
      <c r="D6" s="6" t="s">
        <v>123</v>
      </c>
      <c r="E6" s="6" t="s">
        <v>155</v>
      </c>
      <c r="F6" s="6" t="s">
        <v>156</v>
      </c>
      <c r="G6" s="6"/>
      <c r="H6" s="6" t="s">
        <v>112</v>
      </c>
      <c r="I6" s="6" t="s">
        <v>157</v>
      </c>
      <c r="J6" s="9" t="n">
        <f aca="false">IF(LEFT(I6,1)="(","",LEN(I6))</f>
        <v>60</v>
      </c>
      <c r="K6" s="6" t="s">
        <v>158</v>
      </c>
      <c r="L6" s="8"/>
      <c r="M6" s="6" t="str">
        <f aca="false">IF(L6="","",LEN(L6))</f>
        <v/>
      </c>
      <c r="N6" s="6" t="s">
        <v>159</v>
      </c>
      <c r="O6" s="6" t="s">
        <v>151</v>
      </c>
      <c r="P6" s="6" t="s">
        <v>131</v>
      </c>
      <c r="Q6" s="8" t="s">
        <v>132</v>
      </c>
      <c r="R6" s="6" t="s">
        <v>119</v>
      </c>
      <c r="S6" s="6" t="s">
        <v>160</v>
      </c>
      <c r="T6" s="10" t="n">
        <f aca="false">SUMIF('Seed Keywords'!$C:$C,E6,'Seed Keywords'!$E:$E)+SUMIF('Seed Keywords'!$C:$C,E6&amp;"#*",'Seed Keywords'!$E:$E)</f>
        <v>0</v>
      </c>
      <c r="U6" s="6" t="s">
        <v>161</v>
      </c>
    </row>
    <row r="7" customFormat="false" ht="23.85" hidden="false" customHeight="false" outlineLevel="0" collapsed="false">
      <c r="A7" s="6" t="s">
        <v>162</v>
      </c>
      <c r="B7" s="6" t="n">
        <v>1</v>
      </c>
      <c r="C7" s="6" t="s">
        <v>107</v>
      </c>
      <c r="D7" s="6" t="s">
        <v>163</v>
      </c>
      <c r="E7" s="6" t="s">
        <v>164</v>
      </c>
      <c r="F7" s="6" t="s">
        <v>165</v>
      </c>
      <c r="G7" s="6"/>
      <c r="H7" s="6" t="s">
        <v>126</v>
      </c>
      <c r="I7" s="6" t="s">
        <v>166</v>
      </c>
      <c r="J7" s="9" t="n">
        <f aca="false">IF(LEFT(I7,1)="(","",LEN(I7))</f>
        <v>49</v>
      </c>
      <c r="K7" s="6" t="s">
        <v>167</v>
      </c>
      <c r="L7" s="8"/>
      <c r="M7" s="6" t="str">
        <f aca="false">IF(L7="","",LEN(L7))</f>
        <v/>
      </c>
      <c r="N7" s="6" t="s">
        <v>168</v>
      </c>
      <c r="O7" s="6" t="s">
        <v>169</v>
      </c>
      <c r="P7" s="6" t="s">
        <v>131</v>
      </c>
      <c r="Q7" s="8" t="s">
        <v>132</v>
      </c>
      <c r="R7" s="6" t="s">
        <v>119</v>
      </c>
      <c r="S7" s="6" t="s">
        <v>170</v>
      </c>
      <c r="T7" s="10" t="n">
        <f aca="false">SUMIF('Seed Keywords'!$C:$C,E7,'Seed Keywords'!$E:$E)+SUMIF('Seed Keywords'!$C:$C,E7&amp;"#*",'Seed Keywords'!$E:$E)</f>
        <v>0</v>
      </c>
      <c r="U7" s="6" t="s">
        <v>171</v>
      </c>
    </row>
    <row r="8" customFormat="false" ht="23.85" hidden="false" customHeight="false" outlineLevel="0" collapsed="false">
      <c r="A8" s="6" t="s">
        <v>172</v>
      </c>
      <c r="B8" s="6" t="n">
        <v>1</v>
      </c>
      <c r="C8" s="6" t="s">
        <v>173</v>
      </c>
      <c r="D8" s="6" t="s">
        <v>163</v>
      </c>
      <c r="E8" s="6" t="s">
        <v>174</v>
      </c>
      <c r="F8" s="6" t="s">
        <v>175</v>
      </c>
      <c r="G8" s="6"/>
      <c r="H8" s="6" t="s">
        <v>126</v>
      </c>
      <c r="I8" s="6" t="s">
        <v>176</v>
      </c>
      <c r="J8" s="9" t="n">
        <f aca="false">IF(LEFT(I8,1)="(","",LEN(I8))</f>
        <v>47</v>
      </c>
      <c r="K8" s="6" t="s">
        <v>177</v>
      </c>
      <c r="L8" s="8"/>
      <c r="M8" s="6" t="str">
        <f aca="false">IF(L8="","",LEN(L8))</f>
        <v/>
      </c>
      <c r="N8" s="6" t="s">
        <v>168</v>
      </c>
      <c r="O8" s="6" t="s">
        <v>169</v>
      </c>
      <c r="P8" s="6" t="s">
        <v>131</v>
      </c>
      <c r="Q8" s="8" t="s">
        <v>132</v>
      </c>
      <c r="R8" s="6" t="s">
        <v>119</v>
      </c>
      <c r="S8" s="6" t="s">
        <v>178</v>
      </c>
      <c r="T8" s="10" t="n">
        <f aca="false">SUMIF('Seed Keywords'!$C:$C,E8,'Seed Keywords'!$E:$E)+SUMIF('Seed Keywords'!$C:$C,E8&amp;"#*",'Seed Keywords'!$E:$E)</f>
        <v>0</v>
      </c>
      <c r="U8" s="6" t="s">
        <v>179</v>
      </c>
    </row>
    <row r="9" customFormat="false" ht="57.45" hidden="false" customHeight="false" outlineLevel="0" collapsed="false">
      <c r="A9" s="6" t="s">
        <v>180</v>
      </c>
      <c r="B9" s="6" t="n">
        <v>1</v>
      </c>
      <c r="C9" s="6" t="s">
        <v>145</v>
      </c>
      <c r="D9" s="6" t="s">
        <v>181</v>
      </c>
      <c r="E9" s="6" t="s">
        <v>182</v>
      </c>
      <c r="F9" s="6" t="s">
        <v>183</v>
      </c>
      <c r="G9" s="6" t="s">
        <v>184</v>
      </c>
      <c r="H9" s="6" t="s">
        <v>185</v>
      </c>
      <c r="I9" s="6" t="s">
        <v>186</v>
      </c>
      <c r="J9" s="9" t="n">
        <f aca="false">IF(LEFT(I9,1)="(","",LEN(I9))</f>
        <v>49</v>
      </c>
      <c r="K9" s="6" t="s">
        <v>187</v>
      </c>
      <c r="L9" s="8"/>
      <c r="M9" s="6" t="str">
        <f aca="false">IF(L9="","",LEN(L9))</f>
        <v/>
      </c>
      <c r="N9" s="6" t="s">
        <v>188</v>
      </c>
      <c r="O9" s="6" t="s">
        <v>189</v>
      </c>
      <c r="P9" s="6" t="s">
        <v>190</v>
      </c>
      <c r="Q9" s="8" t="s">
        <v>132</v>
      </c>
      <c r="R9" s="6" t="s">
        <v>119</v>
      </c>
      <c r="S9" s="6" t="s">
        <v>191</v>
      </c>
      <c r="T9" s="10" t="n">
        <f aca="false">SUMIF('Seed Keywords'!$C:$C,E9,'Seed Keywords'!$E:$E)+SUMIF('Seed Keywords'!$C:$C,E9&amp;"#*",'Seed Keywords'!$E:$E)</f>
        <v>0</v>
      </c>
      <c r="U9" s="6" t="s">
        <v>192</v>
      </c>
    </row>
    <row r="10" customFormat="false" ht="46.25" hidden="false" customHeight="false" outlineLevel="0" collapsed="false">
      <c r="A10" s="6" t="s">
        <v>193</v>
      </c>
      <c r="B10" s="6" t="n">
        <v>1</v>
      </c>
      <c r="C10" s="6" t="s">
        <v>145</v>
      </c>
      <c r="D10" s="6" t="s">
        <v>181</v>
      </c>
      <c r="E10" s="6" t="s">
        <v>194</v>
      </c>
      <c r="F10" s="6" t="s">
        <v>195</v>
      </c>
      <c r="G10" s="6" t="s">
        <v>196</v>
      </c>
      <c r="H10" s="6" t="s">
        <v>185</v>
      </c>
      <c r="I10" s="6" t="s">
        <v>197</v>
      </c>
      <c r="J10" s="9" t="n">
        <f aca="false">IF(LEFT(I10,1)="(","",LEN(I10))</f>
        <v>44</v>
      </c>
      <c r="K10" s="6" t="s">
        <v>198</v>
      </c>
      <c r="L10" s="8"/>
      <c r="M10" s="6" t="str">
        <f aca="false">IF(L10="","",LEN(L10))</f>
        <v/>
      </c>
      <c r="N10" s="6" t="s">
        <v>188</v>
      </c>
      <c r="O10" s="6" t="s">
        <v>189</v>
      </c>
      <c r="P10" s="6" t="s">
        <v>199</v>
      </c>
      <c r="Q10" s="8" t="s">
        <v>118</v>
      </c>
      <c r="R10" s="6" t="s">
        <v>119</v>
      </c>
      <c r="S10" s="6" t="s">
        <v>200</v>
      </c>
      <c r="T10" s="10" t="n">
        <f aca="false">SUMIF('Seed Keywords'!$C:$C,E10,'Seed Keywords'!$E:$E)+SUMIF('Seed Keywords'!$C:$C,E10&amp;"#*",'Seed Keywords'!$E:$E)</f>
        <v>0</v>
      </c>
      <c r="U10" s="6" t="s">
        <v>201</v>
      </c>
    </row>
    <row r="11" customFormat="false" ht="46.25" hidden="false" customHeight="false" outlineLevel="0" collapsed="false">
      <c r="A11" s="6" t="s">
        <v>202</v>
      </c>
      <c r="B11" s="6" t="n">
        <v>1</v>
      </c>
      <c r="C11" s="6" t="s">
        <v>145</v>
      </c>
      <c r="D11" s="6" t="s">
        <v>181</v>
      </c>
      <c r="E11" s="6" t="s">
        <v>203</v>
      </c>
      <c r="F11" s="6" t="s">
        <v>204</v>
      </c>
      <c r="G11" s="6" t="s">
        <v>205</v>
      </c>
      <c r="H11" s="6" t="s">
        <v>185</v>
      </c>
      <c r="I11" s="6" t="s">
        <v>206</v>
      </c>
      <c r="J11" s="9" t="n">
        <f aca="false">IF(LEFT(I11,1)="(","",LEN(I11))</f>
        <v>46</v>
      </c>
      <c r="K11" s="6" t="s">
        <v>207</v>
      </c>
      <c r="L11" s="8"/>
      <c r="M11" s="6" t="str">
        <f aca="false">IF(L11="","",LEN(L11))</f>
        <v/>
      </c>
      <c r="N11" s="6" t="s">
        <v>188</v>
      </c>
      <c r="O11" s="6" t="s">
        <v>189</v>
      </c>
      <c r="P11" s="6" t="s">
        <v>208</v>
      </c>
      <c r="Q11" s="8" t="s">
        <v>132</v>
      </c>
      <c r="R11" s="6" t="s">
        <v>119</v>
      </c>
      <c r="S11" s="6" t="s">
        <v>209</v>
      </c>
      <c r="T11" s="10" t="n">
        <f aca="false">SUMIF('Seed Keywords'!$C:$C,E11,'Seed Keywords'!$E:$E)+SUMIF('Seed Keywords'!$C:$C,E11&amp;"#*",'Seed Keywords'!$E:$E)</f>
        <v>0</v>
      </c>
      <c r="U11" s="6" t="s">
        <v>210</v>
      </c>
    </row>
    <row r="12" customFormat="false" ht="46.25" hidden="false" customHeight="false" outlineLevel="0" collapsed="false">
      <c r="A12" s="6" t="s">
        <v>211</v>
      </c>
      <c r="B12" s="6" t="n">
        <v>1</v>
      </c>
      <c r="C12" s="6" t="s">
        <v>145</v>
      </c>
      <c r="D12" s="6" t="s">
        <v>181</v>
      </c>
      <c r="E12" s="6" t="s">
        <v>212</v>
      </c>
      <c r="F12" s="6" t="s">
        <v>213</v>
      </c>
      <c r="G12" s="6" t="s">
        <v>214</v>
      </c>
      <c r="H12" s="6" t="s">
        <v>185</v>
      </c>
      <c r="I12" s="6" t="s">
        <v>215</v>
      </c>
      <c r="J12" s="9" t="n">
        <f aca="false">IF(LEFT(I12,1)="(","",LEN(I12))</f>
        <v>51</v>
      </c>
      <c r="K12" s="6" t="s">
        <v>216</v>
      </c>
      <c r="L12" s="8"/>
      <c r="M12" s="6" t="str">
        <f aca="false">IF(L12="","",LEN(L12))</f>
        <v/>
      </c>
      <c r="N12" s="6" t="s">
        <v>188</v>
      </c>
      <c r="O12" s="6" t="s">
        <v>189</v>
      </c>
      <c r="P12" s="6" t="s">
        <v>217</v>
      </c>
      <c r="Q12" s="8" t="s">
        <v>132</v>
      </c>
      <c r="R12" s="6" t="s">
        <v>119</v>
      </c>
      <c r="S12" s="6" t="s">
        <v>218</v>
      </c>
      <c r="T12" s="10" t="n">
        <f aca="false">SUMIF('Seed Keywords'!$C:$C,E12,'Seed Keywords'!$E:$E)+SUMIF('Seed Keywords'!$C:$C,E12&amp;"#*",'Seed Keywords'!$E:$E)</f>
        <v>0</v>
      </c>
      <c r="U12" s="6" t="s">
        <v>219</v>
      </c>
    </row>
    <row r="13" customFormat="false" ht="46.25" hidden="false" customHeight="false" outlineLevel="0" collapsed="false">
      <c r="A13" s="6" t="s">
        <v>220</v>
      </c>
      <c r="B13" s="6" t="n">
        <v>1</v>
      </c>
      <c r="C13" s="6" t="s">
        <v>145</v>
      </c>
      <c r="D13" s="6" t="s">
        <v>181</v>
      </c>
      <c r="E13" s="6" t="s">
        <v>221</v>
      </c>
      <c r="F13" s="6" t="s">
        <v>222</v>
      </c>
      <c r="G13" s="6" t="s">
        <v>223</v>
      </c>
      <c r="H13" s="6" t="s">
        <v>185</v>
      </c>
      <c r="I13" s="6" t="s">
        <v>224</v>
      </c>
      <c r="J13" s="9" t="n">
        <f aca="false">IF(LEFT(I13,1)="(","",LEN(I13))</f>
        <v>51</v>
      </c>
      <c r="K13" s="6" t="s">
        <v>225</v>
      </c>
      <c r="L13" s="8"/>
      <c r="M13" s="6" t="str">
        <f aca="false">IF(L13="","",LEN(L13))</f>
        <v/>
      </c>
      <c r="N13" s="6" t="s">
        <v>188</v>
      </c>
      <c r="O13" s="6" t="s">
        <v>189</v>
      </c>
      <c r="P13" s="6" t="s">
        <v>226</v>
      </c>
      <c r="Q13" s="8" t="s">
        <v>132</v>
      </c>
      <c r="R13" s="6" t="s">
        <v>119</v>
      </c>
      <c r="S13" s="6" t="s">
        <v>227</v>
      </c>
      <c r="T13" s="10" t="n">
        <f aca="false">SUMIF('Seed Keywords'!$C:$C,E13,'Seed Keywords'!$E:$E)+SUMIF('Seed Keywords'!$C:$C,E13&amp;"#*",'Seed Keywords'!$E:$E)</f>
        <v>0</v>
      </c>
      <c r="U13" s="6" t="s">
        <v>228</v>
      </c>
    </row>
    <row r="14" customFormat="false" ht="46.25" hidden="false" customHeight="false" outlineLevel="0" collapsed="false">
      <c r="A14" s="6" t="s">
        <v>229</v>
      </c>
      <c r="B14" s="6" t="n">
        <v>1</v>
      </c>
      <c r="C14" s="6" t="s">
        <v>145</v>
      </c>
      <c r="D14" s="6" t="s">
        <v>181</v>
      </c>
      <c r="E14" s="6" t="s">
        <v>230</v>
      </c>
      <c r="F14" s="6" t="s">
        <v>231</v>
      </c>
      <c r="G14" s="6" t="s">
        <v>232</v>
      </c>
      <c r="H14" s="6" t="s">
        <v>185</v>
      </c>
      <c r="I14" s="6" t="s">
        <v>233</v>
      </c>
      <c r="J14" s="9" t="n">
        <f aca="false">IF(LEFT(I14,1)="(","",LEN(I14))</f>
        <v>57</v>
      </c>
      <c r="K14" s="6" t="s">
        <v>234</v>
      </c>
      <c r="L14" s="8"/>
      <c r="M14" s="6" t="str">
        <f aca="false">IF(L14="","",LEN(L14))</f>
        <v/>
      </c>
      <c r="N14" s="6" t="s">
        <v>188</v>
      </c>
      <c r="O14" s="6" t="s">
        <v>189</v>
      </c>
      <c r="P14" s="6" t="s">
        <v>235</v>
      </c>
      <c r="Q14" s="8" t="s">
        <v>132</v>
      </c>
      <c r="R14" s="6" t="s">
        <v>119</v>
      </c>
      <c r="S14" s="6" t="s">
        <v>236</v>
      </c>
      <c r="T14" s="10" t="n">
        <f aca="false">SUMIF('Seed Keywords'!$C:$C,E14,'Seed Keywords'!$E:$E)+SUMIF('Seed Keywords'!$C:$C,E14&amp;"#*",'Seed Keywords'!$E:$E)</f>
        <v>0</v>
      </c>
      <c r="U14" s="6" t="s">
        <v>237</v>
      </c>
    </row>
    <row r="15" customFormat="false" ht="102.2" hidden="false" customHeight="false" outlineLevel="0" collapsed="false">
      <c r="A15" s="6" t="s">
        <v>238</v>
      </c>
      <c r="B15" s="6" t="n">
        <v>1</v>
      </c>
      <c r="C15" s="6" t="s">
        <v>145</v>
      </c>
      <c r="D15" s="6" t="s">
        <v>181</v>
      </c>
      <c r="E15" s="6" t="s">
        <v>239</v>
      </c>
      <c r="F15" s="6" t="s">
        <v>240</v>
      </c>
      <c r="G15" s="6" t="s">
        <v>241</v>
      </c>
      <c r="H15" s="6" t="s">
        <v>185</v>
      </c>
      <c r="I15" s="6" t="s">
        <v>242</v>
      </c>
      <c r="J15" s="9" t="n">
        <f aca="false">IF(LEFT(I15,1)="(","",LEN(I15))</f>
        <v>59</v>
      </c>
      <c r="K15" s="6" t="s">
        <v>243</v>
      </c>
      <c r="L15" s="8"/>
      <c r="M15" s="6" t="str">
        <f aca="false">IF(L15="","",LEN(L15))</f>
        <v/>
      </c>
      <c r="N15" s="6" t="s">
        <v>244</v>
      </c>
      <c r="O15" s="6" t="s">
        <v>189</v>
      </c>
      <c r="P15" s="6" t="s">
        <v>245</v>
      </c>
      <c r="Q15" s="8" t="s">
        <v>118</v>
      </c>
      <c r="R15" s="6" t="s">
        <v>119</v>
      </c>
      <c r="S15" s="6" t="s">
        <v>246</v>
      </c>
      <c r="T15" s="10" t="n">
        <f aca="false">SUMIF('Seed Keywords'!$C:$C,E15,'Seed Keywords'!$E:$E)+SUMIF('Seed Keywords'!$C:$C,E15&amp;"#*",'Seed Keywords'!$E:$E)</f>
        <v>0</v>
      </c>
      <c r="U15" s="6" t="s">
        <v>247</v>
      </c>
    </row>
    <row r="16" customFormat="false" ht="35.05" hidden="false" customHeight="false" outlineLevel="0" collapsed="false">
      <c r="A16" s="6" t="s">
        <v>248</v>
      </c>
      <c r="B16" s="6" t="n">
        <v>1</v>
      </c>
      <c r="C16" s="6" t="s">
        <v>249</v>
      </c>
      <c r="D16" s="6" t="s">
        <v>249</v>
      </c>
      <c r="E16" s="6" t="s">
        <v>250</v>
      </c>
      <c r="F16" s="6" t="s">
        <v>251</v>
      </c>
      <c r="G16" s="6" t="s">
        <v>252</v>
      </c>
      <c r="H16" s="6" t="s">
        <v>185</v>
      </c>
      <c r="I16" s="6" t="s">
        <v>253</v>
      </c>
      <c r="J16" s="9" t="str">
        <f aca="false">IF(LEFT(I16,1)="(","",LEN(I16))</f>
        <v/>
      </c>
      <c r="K16" s="6" t="s">
        <v>254</v>
      </c>
      <c r="L16" s="8"/>
      <c r="M16" s="6" t="str">
        <f aca="false">IF(L16="","",LEN(L16))</f>
        <v/>
      </c>
      <c r="N16" s="6" t="s">
        <v>255</v>
      </c>
      <c r="O16" s="6" t="s">
        <v>256</v>
      </c>
      <c r="P16" s="6" t="s">
        <v>257</v>
      </c>
      <c r="Q16" s="8" t="s">
        <v>132</v>
      </c>
      <c r="R16" s="6" t="s">
        <v>119</v>
      </c>
      <c r="S16" s="6" t="s">
        <v>258</v>
      </c>
      <c r="T16" s="10" t="n">
        <f aca="false">SUMIF('Seed Keywords'!$C:$C,E16,'Seed Keywords'!$E:$E)+SUMIF('Seed Keywords'!$C:$C,E16&amp;"#*",'Seed Keywords'!$E:$E)</f>
        <v>0</v>
      </c>
      <c r="U16" s="6" t="s">
        <v>259</v>
      </c>
    </row>
    <row r="17" customFormat="false" ht="46.25" hidden="false" customHeight="false" outlineLevel="0" collapsed="false">
      <c r="A17" s="6" t="s">
        <v>260</v>
      </c>
      <c r="B17" s="6" t="n">
        <v>1</v>
      </c>
      <c r="C17" s="6" t="s">
        <v>145</v>
      </c>
      <c r="D17" s="6" t="s">
        <v>261</v>
      </c>
      <c r="E17" s="6" t="s">
        <v>262</v>
      </c>
      <c r="F17" s="6" t="s">
        <v>263</v>
      </c>
      <c r="G17" s="6" t="s">
        <v>264</v>
      </c>
      <c r="H17" s="6" t="s">
        <v>185</v>
      </c>
      <c r="I17" s="6" t="s">
        <v>265</v>
      </c>
      <c r="J17" s="9" t="n">
        <f aca="false">IF(LEFT(I17,1)="(","",LEN(I17))</f>
        <v>46</v>
      </c>
      <c r="K17" s="6" t="s">
        <v>266</v>
      </c>
      <c r="L17" s="8"/>
      <c r="M17" s="6" t="str">
        <f aca="false">IF(L17="","",LEN(L17))</f>
        <v/>
      </c>
      <c r="N17" s="6" t="s">
        <v>267</v>
      </c>
      <c r="O17" s="6" t="s">
        <v>268</v>
      </c>
      <c r="P17" s="6" t="s">
        <v>269</v>
      </c>
      <c r="Q17" s="8" t="s">
        <v>118</v>
      </c>
      <c r="R17" s="6" t="s">
        <v>119</v>
      </c>
      <c r="S17" s="6" t="s">
        <v>270</v>
      </c>
      <c r="T17" s="10" t="n">
        <f aca="false">SUMIF('Seed Keywords'!$C:$C,E17,'Seed Keywords'!$E:$E)+SUMIF('Seed Keywords'!$C:$C,E17&amp;"#*",'Seed Keywords'!$E:$E)</f>
        <v>0</v>
      </c>
      <c r="U17" s="6" t="s">
        <v>271</v>
      </c>
    </row>
    <row r="18" customFormat="false" ht="46.25" hidden="false" customHeight="false" outlineLevel="0" collapsed="false">
      <c r="A18" s="6" t="s">
        <v>272</v>
      </c>
      <c r="B18" s="6" t="n">
        <v>1</v>
      </c>
      <c r="C18" s="6" t="s">
        <v>145</v>
      </c>
      <c r="D18" s="6" t="s">
        <v>261</v>
      </c>
      <c r="E18" s="6" t="s">
        <v>273</v>
      </c>
      <c r="F18" s="6" t="s">
        <v>274</v>
      </c>
      <c r="G18" s="6" t="s">
        <v>275</v>
      </c>
      <c r="H18" s="6" t="s">
        <v>185</v>
      </c>
      <c r="I18" s="6" t="s">
        <v>276</v>
      </c>
      <c r="J18" s="9" t="n">
        <f aca="false">IF(LEFT(I18,1)="(","",LEN(I18))</f>
        <v>52</v>
      </c>
      <c r="K18" s="6" t="s">
        <v>277</v>
      </c>
      <c r="L18" s="8"/>
      <c r="M18" s="6" t="str">
        <f aca="false">IF(L18="","",LEN(L18))</f>
        <v/>
      </c>
      <c r="N18" s="6" t="s">
        <v>267</v>
      </c>
      <c r="O18" s="6" t="s">
        <v>268</v>
      </c>
      <c r="P18" s="6" t="s">
        <v>269</v>
      </c>
      <c r="Q18" s="8" t="s">
        <v>132</v>
      </c>
      <c r="R18" s="6" t="s">
        <v>119</v>
      </c>
      <c r="S18" s="6" t="s">
        <v>270</v>
      </c>
      <c r="T18" s="10" t="n">
        <f aca="false">SUMIF('Seed Keywords'!$C:$C,E18,'Seed Keywords'!$E:$E)+SUMIF('Seed Keywords'!$C:$C,E18&amp;"#*",'Seed Keywords'!$E:$E)</f>
        <v>0</v>
      </c>
      <c r="U18" s="6" t="s">
        <v>278</v>
      </c>
    </row>
    <row r="19" customFormat="false" ht="35.05" hidden="false" customHeight="false" outlineLevel="0" collapsed="false">
      <c r="A19" s="6" t="s">
        <v>279</v>
      </c>
      <c r="B19" s="6" t="n">
        <v>1</v>
      </c>
      <c r="C19" s="6" t="s">
        <v>173</v>
      </c>
      <c r="D19" s="6" t="s">
        <v>280</v>
      </c>
      <c r="E19" s="6" t="s">
        <v>281</v>
      </c>
      <c r="F19" s="6" t="s">
        <v>282</v>
      </c>
      <c r="G19" s="6"/>
      <c r="H19" s="6" t="s">
        <v>283</v>
      </c>
      <c r="I19" s="6" t="s">
        <v>284</v>
      </c>
      <c r="J19" s="9" t="n">
        <f aca="false">IF(LEFT(I19,1)="(","",LEN(I19))</f>
        <v>37</v>
      </c>
      <c r="K19" s="6" t="s">
        <v>285</v>
      </c>
      <c r="L19" s="8"/>
      <c r="M19" s="6" t="str">
        <f aca="false">IF(L19="","",LEN(L19))</f>
        <v/>
      </c>
      <c r="N19" s="6" t="s">
        <v>286</v>
      </c>
      <c r="O19" s="6" t="s">
        <v>287</v>
      </c>
      <c r="P19" s="6" t="s">
        <v>288</v>
      </c>
      <c r="Q19" s="8" t="s">
        <v>132</v>
      </c>
      <c r="R19" s="6" t="s">
        <v>119</v>
      </c>
      <c r="S19" s="6" t="s">
        <v>289</v>
      </c>
      <c r="T19" s="10" t="n">
        <f aca="false">SUMIF('Seed Keywords'!$C:$C,E19,'Seed Keywords'!$E:$E)+SUMIF('Seed Keywords'!$C:$C,E19&amp;"#*",'Seed Keywords'!$E:$E)</f>
        <v>0</v>
      </c>
      <c r="U19" s="6" t="s">
        <v>290</v>
      </c>
    </row>
    <row r="20" customFormat="false" ht="35.05" hidden="false" customHeight="false" outlineLevel="0" collapsed="false">
      <c r="A20" s="6" t="s">
        <v>291</v>
      </c>
      <c r="B20" s="6" t="n">
        <v>1</v>
      </c>
      <c r="C20" s="6" t="s">
        <v>173</v>
      </c>
      <c r="D20" s="6" t="s">
        <v>280</v>
      </c>
      <c r="E20" s="6" t="s">
        <v>292</v>
      </c>
      <c r="F20" s="6" t="s">
        <v>293</v>
      </c>
      <c r="G20" s="6"/>
      <c r="H20" s="6" t="s">
        <v>283</v>
      </c>
      <c r="I20" s="6" t="s">
        <v>294</v>
      </c>
      <c r="J20" s="9" t="n">
        <f aca="false">IF(LEFT(I20,1)="(","",LEN(I20))</f>
        <v>41</v>
      </c>
      <c r="K20" s="6" t="s">
        <v>295</v>
      </c>
      <c r="L20" s="8"/>
      <c r="M20" s="6" t="str">
        <f aca="false">IF(L20="","",LEN(L20))</f>
        <v/>
      </c>
      <c r="N20" s="6" t="s">
        <v>286</v>
      </c>
      <c r="O20" s="6" t="s">
        <v>287</v>
      </c>
      <c r="P20" s="6" t="s">
        <v>288</v>
      </c>
      <c r="Q20" s="8" t="s">
        <v>132</v>
      </c>
      <c r="R20" s="6" t="s">
        <v>119</v>
      </c>
      <c r="S20" s="6" t="s">
        <v>289</v>
      </c>
      <c r="T20" s="10" t="n">
        <f aca="false">SUMIF('Seed Keywords'!$C:$C,E20,'Seed Keywords'!$E:$E)+SUMIF('Seed Keywords'!$C:$C,E20&amp;"#*",'Seed Keywords'!$E:$E)</f>
        <v>0</v>
      </c>
      <c r="U20" s="6" t="s">
        <v>290</v>
      </c>
    </row>
    <row r="21" customFormat="false" ht="35.05" hidden="false" customHeight="false" outlineLevel="0" collapsed="false">
      <c r="A21" s="6" t="s">
        <v>296</v>
      </c>
      <c r="B21" s="6" t="n">
        <v>1</v>
      </c>
      <c r="C21" s="6" t="s">
        <v>173</v>
      </c>
      <c r="D21" s="6" t="s">
        <v>280</v>
      </c>
      <c r="E21" s="6" t="s">
        <v>297</v>
      </c>
      <c r="F21" s="6" t="s">
        <v>298</v>
      </c>
      <c r="G21" s="6"/>
      <c r="H21" s="6" t="s">
        <v>283</v>
      </c>
      <c r="I21" s="6" t="s">
        <v>299</v>
      </c>
      <c r="J21" s="9" t="n">
        <f aca="false">IF(LEFT(I21,1)="(","",LEN(I21))</f>
        <v>25</v>
      </c>
      <c r="K21" s="6" t="s">
        <v>300</v>
      </c>
      <c r="L21" s="8"/>
      <c r="M21" s="6" t="str">
        <f aca="false">IF(L21="","",LEN(L21))</f>
        <v/>
      </c>
      <c r="N21" s="6" t="s">
        <v>286</v>
      </c>
      <c r="O21" s="6" t="s">
        <v>287</v>
      </c>
      <c r="P21" s="6" t="s">
        <v>288</v>
      </c>
      <c r="Q21" s="8" t="s">
        <v>132</v>
      </c>
      <c r="R21" s="6" t="s">
        <v>119</v>
      </c>
      <c r="S21" s="6" t="s">
        <v>301</v>
      </c>
      <c r="T21" s="10" t="n">
        <f aca="false">SUMIF('Seed Keywords'!$C:$C,E21,'Seed Keywords'!$E:$E)+SUMIF('Seed Keywords'!$C:$C,E21&amp;"#*",'Seed Keywords'!$E:$E)</f>
        <v>0</v>
      </c>
      <c r="U21" s="6" t="s">
        <v>290</v>
      </c>
    </row>
    <row r="22" customFormat="false" ht="35.05" hidden="false" customHeight="false" outlineLevel="0" collapsed="false">
      <c r="A22" s="6" t="s">
        <v>302</v>
      </c>
      <c r="B22" s="6" t="n">
        <v>1</v>
      </c>
      <c r="C22" s="6" t="s">
        <v>173</v>
      </c>
      <c r="D22" s="6" t="s">
        <v>280</v>
      </c>
      <c r="E22" s="6" t="s">
        <v>303</v>
      </c>
      <c r="F22" s="6" t="s">
        <v>304</v>
      </c>
      <c r="G22" s="6"/>
      <c r="H22" s="6" t="s">
        <v>283</v>
      </c>
      <c r="I22" s="6" t="s">
        <v>305</v>
      </c>
      <c r="J22" s="9" t="n">
        <f aca="false">IF(LEFT(I22,1)="(","",LEN(I22))</f>
        <v>34</v>
      </c>
      <c r="K22" s="6" t="s">
        <v>306</v>
      </c>
      <c r="L22" s="8"/>
      <c r="M22" s="6" t="str">
        <f aca="false">IF(L22="","",LEN(L22))</f>
        <v/>
      </c>
      <c r="N22" s="6" t="s">
        <v>286</v>
      </c>
      <c r="O22" s="6" t="s">
        <v>287</v>
      </c>
      <c r="P22" s="6" t="s">
        <v>288</v>
      </c>
      <c r="Q22" s="8" t="s">
        <v>132</v>
      </c>
      <c r="R22" s="6" t="s">
        <v>119</v>
      </c>
      <c r="S22" s="6" t="s">
        <v>307</v>
      </c>
      <c r="T22" s="10" t="n">
        <f aca="false">SUMIF('Seed Keywords'!$C:$C,E22,'Seed Keywords'!$E:$E)+SUMIF('Seed Keywords'!$C:$C,E22&amp;"#*",'Seed Keywords'!$E:$E)</f>
        <v>0</v>
      </c>
      <c r="U22" s="6" t="s">
        <v>290</v>
      </c>
    </row>
    <row r="23" customFormat="false" ht="35.05" hidden="false" customHeight="false" outlineLevel="0" collapsed="false">
      <c r="A23" s="6" t="s">
        <v>308</v>
      </c>
      <c r="B23" s="6" t="n">
        <v>1</v>
      </c>
      <c r="C23" s="6" t="s">
        <v>173</v>
      </c>
      <c r="D23" s="6" t="s">
        <v>280</v>
      </c>
      <c r="E23" s="6" t="s">
        <v>309</v>
      </c>
      <c r="F23" s="6" t="s">
        <v>310</v>
      </c>
      <c r="G23" s="6"/>
      <c r="H23" s="6" t="s">
        <v>283</v>
      </c>
      <c r="I23" s="6" t="s">
        <v>311</v>
      </c>
      <c r="J23" s="9" t="n">
        <f aca="false">IF(LEFT(I23,1)="(","",LEN(I23))</f>
        <v>32</v>
      </c>
      <c r="K23" s="6" t="s">
        <v>312</v>
      </c>
      <c r="L23" s="8"/>
      <c r="M23" s="6" t="str">
        <f aca="false">IF(L23="","",LEN(L23))</f>
        <v/>
      </c>
      <c r="N23" s="6" t="s">
        <v>286</v>
      </c>
      <c r="O23" s="6" t="s">
        <v>287</v>
      </c>
      <c r="P23" s="6" t="s">
        <v>288</v>
      </c>
      <c r="Q23" s="8" t="s">
        <v>132</v>
      </c>
      <c r="R23" s="6" t="s">
        <v>119</v>
      </c>
      <c r="S23" s="6" t="s">
        <v>313</v>
      </c>
      <c r="T23" s="10" t="n">
        <f aca="false">SUMIF('Seed Keywords'!$C:$C,E23,'Seed Keywords'!$E:$E)+SUMIF('Seed Keywords'!$C:$C,E23&amp;"#*",'Seed Keywords'!$E:$E)</f>
        <v>0</v>
      </c>
      <c r="U23" s="6" t="s">
        <v>290</v>
      </c>
    </row>
    <row r="24" customFormat="false" ht="23.85" hidden="false" customHeight="false" outlineLevel="0" collapsed="false">
      <c r="A24" s="6" t="s">
        <v>314</v>
      </c>
      <c r="B24" s="6" t="n">
        <v>1</v>
      </c>
      <c r="C24" s="6" t="s">
        <v>145</v>
      </c>
      <c r="D24" s="6" t="s">
        <v>315</v>
      </c>
      <c r="E24" s="6" t="s">
        <v>316</v>
      </c>
      <c r="F24" s="6" t="s">
        <v>317</v>
      </c>
      <c r="G24" s="6" t="s">
        <v>318</v>
      </c>
      <c r="H24" s="6" t="s">
        <v>319</v>
      </c>
      <c r="I24" s="6" t="s">
        <v>320</v>
      </c>
      <c r="J24" s="9" t="n">
        <f aca="false">IF(LEFT(I24,1)="(","",LEN(I24))</f>
        <v>48</v>
      </c>
      <c r="K24" s="6" t="s">
        <v>320</v>
      </c>
      <c r="L24" s="8"/>
      <c r="M24" s="6" t="str">
        <f aca="false">IF(L24="","",LEN(L24))</f>
        <v/>
      </c>
      <c r="N24" s="6" t="s">
        <v>321</v>
      </c>
      <c r="O24" s="6" t="s">
        <v>322</v>
      </c>
      <c r="P24" s="6" t="s">
        <v>323</v>
      </c>
      <c r="Q24" s="8" t="s">
        <v>118</v>
      </c>
      <c r="R24" s="6" t="s">
        <v>119</v>
      </c>
      <c r="S24" s="6" t="s">
        <v>182</v>
      </c>
      <c r="T24" s="10" t="n">
        <f aca="false">SUMIF('Seed Keywords'!$C:$C,E24,'Seed Keywords'!$E:$E)+SUMIF('Seed Keywords'!$C:$C,E24&amp;"#*",'Seed Keywords'!$E:$E)</f>
        <v>0</v>
      </c>
      <c r="U24" s="6"/>
    </row>
    <row r="25" customFormat="false" ht="15" hidden="false" customHeight="false" outlineLevel="0" collapsed="false">
      <c r="A25" s="6" t="s">
        <v>324</v>
      </c>
      <c r="B25" s="6" t="n">
        <v>1</v>
      </c>
      <c r="C25" s="6" t="s">
        <v>107</v>
      </c>
      <c r="D25" s="6" t="s">
        <v>325</v>
      </c>
      <c r="E25" s="6" t="s">
        <v>326</v>
      </c>
      <c r="F25" s="6" t="s">
        <v>131</v>
      </c>
      <c r="G25" s="6"/>
      <c r="H25" s="6" t="s">
        <v>131</v>
      </c>
      <c r="I25" s="6" t="s">
        <v>327</v>
      </c>
      <c r="J25" s="9" t="n">
        <f aca="false">IF(LEFT(I25,1)="(","",LEN(I25))</f>
        <v>28</v>
      </c>
      <c r="K25" s="6" t="s">
        <v>328</v>
      </c>
      <c r="L25" s="8"/>
      <c r="M25" s="6" t="str">
        <f aca="false">IF(L25="","",LEN(L25))</f>
        <v/>
      </c>
      <c r="N25" s="6"/>
      <c r="O25" s="6" t="s">
        <v>131</v>
      </c>
      <c r="P25" s="6" t="s">
        <v>131</v>
      </c>
      <c r="Q25" s="8" t="s">
        <v>132</v>
      </c>
      <c r="R25" s="6" t="s">
        <v>329</v>
      </c>
      <c r="S25" s="6" t="s">
        <v>131</v>
      </c>
      <c r="T25" s="10" t="n">
        <f aca="false">SUMIF('Seed Keywords'!$C:$C,E25,'Seed Keywords'!$E:$E)+SUMIF('Seed Keywords'!$C:$C,E25&amp;"#*",'Seed Keywords'!$E:$E)</f>
        <v>0</v>
      </c>
      <c r="U25" s="6" t="s">
        <v>330</v>
      </c>
    </row>
    <row r="26" customFormat="false" ht="15" hidden="false" customHeight="false" outlineLevel="0" collapsed="false">
      <c r="A26" s="6" t="s">
        <v>331</v>
      </c>
      <c r="B26" s="6" t="n">
        <v>1</v>
      </c>
      <c r="C26" s="6" t="s">
        <v>107</v>
      </c>
      <c r="D26" s="6" t="s">
        <v>325</v>
      </c>
      <c r="E26" s="6" t="s">
        <v>332</v>
      </c>
      <c r="F26" s="6" t="s">
        <v>131</v>
      </c>
      <c r="G26" s="6"/>
      <c r="H26" s="6" t="s">
        <v>131</v>
      </c>
      <c r="I26" s="6" t="s">
        <v>333</v>
      </c>
      <c r="J26" s="9" t="n">
        <f aca="false">IF(LEFT(I26,1)="(","",LEN(I26))</f>
        <v>33</v>
      </c>
      <c r="K26" s="6" t="s">
        <v>334</v>
      </c>
      <c r="L26" s="8"/>
      <c r="M26" s="6" t="str">
        <f aca="false">IF(L26="","",LEN(L26))</f>
        <v/>
      </c>
      <c r="N26" s="6"/>
      <c r="O26" s="6" t="s">
        <v>131</v>
      </c>
      <c r="P26" s="6" t="s">
        <v>131</v>
      </c>
      <c r="Q26" s="8" t="s">
        <v>132</v>
      </c>
      <c r="R26" s="6" t="s">
        <v>119</v>
      </c>
      <c r="S26" s="6" t="s">
        <v>131</v>
      </c>
      <c r="T26" s="10" t="n">
        <f aca="false">SUMIF('Seed Keywords'!$C:$C,E26,'Seed Keywords'!$E:$E)+SUMIF('Seed Keywords'!$C:$C,E26&amp;"#*",'Seed Keywords'!$E:$E)</f>
        <v>0</v>
      </c>
      <c r="U26" s="6"/>
    </row>
    <row r="27" customFormat="false" ht="15" hidden="false" customHeight="false" outlineLevel="0" collapsed="false">
      <c r="A27" s="6" t="s">
        <v>335</v>
      </c>
      <c r="B27" s="6" t="n">
        <v>1</v>
      </c>
      <c r="C27" s="6" t="s">
        <v>107</v>
      </c>
      <c r="D27" s="6" t="s">
        <v>325</v>
      </c>
      <c r="E27" s="6" t="s">
        <v>336</v>
      </c>
      <c r="F27" s="6" t="s">
        <v>131</v>
      </c>
      <c r="G27" s="6"/>
      <c r="H27" s="6" t="s">
        <v>131</v>
      </c>
      <c r="I27" s="6" t="s">
        <v>337</v>
      </c>
      <c r="J27" s="9" t="n">
        <f aca="false">IF(LEFT(I27,1)="(","",LEN(I27))</f>
        <v>35</v>
      </c>
      <c r="K27" s="6" t="s">
        <v>338</v>
      </c>
      <c r="L27" s="8"/>
      <c r="M27" s="6" t="str">
        <f aca="false">IF(L27="","",LEN(L27))</f>
        <v/>
      </c>
      <c r="N27" s="6"/>
      <c r="O27" s="6" t="s">
        <v>131</v>
      </c>
      <c r="P27" s="6" t="s">
        <v>131</v>
      </c>
      <c r="Q27" s="8" t="s">
        <v>132</v>
      </c>
      <c r="R27" s="6" t="s">
        <v>119</v>
      </c>
      <c r="S27" s="6" t="s">
        <v>131</v>
      </c>
      <c r="T27" s="10" t="n">
        <f aca="false">SUMIF('Seed Keywords'!$C:$C,E27,'Seed Keywords'!$E:$E)+SUMIF('Seed Keywords'!$C:$C,E27&amp;"#*",'Seed Keywords'!$E:$E)</f>
        <v>0</v>
      </c>
      <c r="U27" s="6"/>
    </row>
    <row r="28" customFormat="false" ht="23.85" hidden="false" customHeight="false" outlineLevel="0" collapsed="false">
      <c r="A28" s="6" t="s">
        <v>339</v>
      </c>
      <c r="B28" s="6" t="n">
        <v>2</v>
      </c>
      <c r="C28" s="6" t="s">
        <v>145</v>
      </c>
      <c r="D28" s="6" t="s">
        <v>123</v>
      </c>
      <c r="E28" s="6" t="s">
        <v>340</v>
      </c>
      <c r="F28" s="6" t="s">
        <v>341</v>
      </c>
      <c r="G28" s="6"/>
      <c r="H28" s="6" t="s">
        <v>126</v>
      </c>
      <c r="I28" s="6" t="s">
        <v>342</v>
      </c>
      <c r="J28" s="9" t="n">
        <f aca="false">IF(LEFT(I28,1)="(","",LEN(I28))</f>
        <v>35</v>
      </c>
      <c r="K28" s="6" t="s">
        <v>343</v>
      </c>
      <c r="L28" s="8"/>
      <c r="M28" s="6" t="str">
        <f aca="false">IF(L28="","",LEN(L28))</f>
        <v/>
      </c>
      <c r="N28" s="6" t="s">
        <v>344</v>
      </c>
      <c r="O28" s="6" t="s">
        <v>345</v>
      </c>
      <c r="P28" s="6" t="s">
        <v>131</v>
      </c>
      <c r="Q28" s="8" t="s">
        <v>132</v>
      </c>
      <c r="R28" s="6" t="s">
        <v>119</v>
      </c>
      <c r="S28" s="6" t="s">
        <v>133</v>
      </c>
      <c r="T28" s="10" t="n">
        <f aca="false">SUMIF('Seed Keywords'!$C:$C,E28,'Seed Keywords'!$E:$E)+SUMIF('Seed Keywords'!$C:$C,E28&amp;"#*",'Seed Keywords'!$E:$E)</f>
        <v>0</v>
      </c>
      <c r="U28" s="6" t="s">
        <v>346</v>
      </c>
    </row>
    <row r="29" customFormat="false" ht="35.05" hidden="false" customHeight="false" outlineLevel="0" collapsed="false">
      <c r="A29" s="6" t="s">
        <v>347</v>
      </c>
      <c r="B29" s="6" t="n">
        <v>2</v>
      </c>
      <c r="C29" s="6" t="s">
        <v>145</v>
      </c>
      <c r="D29" s="6" t="s">
        <v>163</v>
      </c>
      <c r="E29" s="6" t="s">
        <v>348</v>
      </c>
      <c r="F29" s="6" t="s">
        <v>349</v>
      </c>
      <c r="G29" s="6"/>
      <c r="H29" s="6" t="s">
        <v>126</v>
      </c>
      <c r="I29" s="6" t="s">
        <v>350</v>
      </c>
      <c r="J29" s="9" t="n">
        <f aca="false">IF(LEFT(I29,1)="(","",LEN(I29))</f>
        <v>55</v>
      </c>
      <c r="K29" s="6" t="s">
        <v>351</v>
      </c>
      <c r="L29" s="8"/>
      <c r="M29" s="6" t="str">
        <f aca="false">IF(L29="","",LEN(L29))</f>
        <v/>
      </c>
      <c r="N29" s="6" t="s">
        <v>168</v>
      </c>
      <c r="O29" s="6" t="s">
        <v>169</v>
      </c>
      <c r="P29" s="6" t="s">
        <v>131</v>
      </c>
      <c r="Q29" s="8" t="s">
        <v>132</v>
      </c>
      <c r="R29" s="6" t="s">
        <v>119</v>
      </c>
      <c r="S29" s="6" t="s">
        <v>352</v>
      </c>
      <c r="T29" s="10" t="n">
        <f aca="false">SUMIF('Seed Keywords'!$C:$C,E29,'Seed Keywords'!$E:$E)+SUMIF('Seed Keywords'!$C:$C,E29&amp;"#*",'Seed Keywords'!$E:$E)</f>
        <v>0</v>
      </c>
      <c r="U29" s="6" t="s">
        <v>353</v>
      </c>
    </row>
    <row r="30" customFormat="false" ht="23.85" hidden="false" customHeight="false" outlineLevel="0" collapsed="false">
      <c r="A30" s="6" t="s">
        <v>354</v>
      </c>
      <c r="B30" s="6" t="n">
        <v>2</v>
      </c>
      <c r="C30" s="6" t="s">
        <v>145</v>
      </c>
      <c r="D30" s="6" t="s">
        <v>163</v>
      </c>
      <c r="E30" s="6" t="s">
        <v>355</v>
      </c>
      <c r="F30" s="6" t="s">
        <v>356</v>
      </c>
      <c r="G30" s="6"/>
      <c r="H30" s="6" t="s">
        <v>126</v>
      </c>
      <c r="I30" s="6" t="s">
        <v>357</v>
      </c>
      <c r="J30" s="9" t="n">
        <f aca="false">IF(LEFT(I30,1)="(","",LEN(I30))</f>
        <v>51</v>
      </c>
      <c r="K30" s="6" t="s">
        <v>358</v>
      </c>
      <c r="L30" s="8"/>
      <c r="M30" s="6" t="str">
        <f aca="false">IF(L30="","",LEN(L30))</f>
        <v/>
      </c>
      <c r="N30" s="6" t="s">
        <v>168</v>
      </c>
      <c r="O30" s="6" t="s">
        <v>169</v>
      </c>
      <c r="P30" s="6" t="s">
        <v>131</v>
      </c>
      <c r="Q30" s="8" t="s">
        <v>132</v>
      </c>
      <c r="R30" s="6" t="s">
        <v>119</v>
      </c>
      <c r="S30" s="6" t="s">
        <v>359</v>
      </c>
      <c r="T30" s="10" t="n">
        <f aca="false">SUMIF('Seed Keywords'!$C:$C,E30,'Seed Keywords'!$E:$E)+SUMIF('Seed Keywords'!$C:$C,E30&amp;"#*",'Seed Keywords'!$E:$E)</f>
        <v>0</v>
      </c>
      <c r="U30" s="6" t="s">
        <v>360</v>
      </c>
    </row>
    <row r="31" customFormat="false" ht="23.85" hidden="false" customHeight="false" outlineLevel="0" collapsed="false">
      <c r="A31" s="6" t="s">
        <v>361</v>
      </c>
      <c r="B31" s="6" t="n">
        <v>2</v>
      </c>
      <c r="C31" s="6" t="s">
        <v>145</v>
      </c>
      <c r="D31" s="6" t="s">
        <v>163</v>
      </c>
      <c r="E31" s="6" t="s">
        <v>362</v>
      </c>
      <c r="F31" s="6" t="s">
        <v>363</v>
      </c>
      <c r="G31" s="6"/>
      <c r="H31" s="6" t="s">
        <v>126</v>
      </c>
      <c r="I31" s="6" t="s">
        <v>364</v>
      </c>
      <c r="J31" s="9" t="n">
        <f aca="false">IF(LEFT(I31,1)="(","",LEN(I31))</f>
        <v>48</v>
      </c>
      <c r="K31" s="6" t="s">
        <v>365</v>
      </c>
      <c r="L31" s="8"/>
      <c r="M31" s="6" t="str">
        <f aca="false">IF(L31="","",LEN(L31))</f>
        <v/>
      </c>
      <c r="N31" s="6" t="s">
        <v>168</v>
      </c>
      <c r="O31" s="6" t="s">
        <v>169</v>
      </c>
      <c r="P31" s="6" t="s">
        <v>131</v>
      </c>
      <c r="Q31" s="8" t="s">
        <v>132</v>
      </c>
      <c r="R31" s="6" t="s">
        <v>119</v>
      </c>
      <c r="S31" s="6" t="s">
        <v>366</v>
      </c>
      <c r="T31" s="10" t="n">
        <f aca="false">SUMIF('Seed Keywords'!$C:$C,E31,'Seed Keywords'!$E:$E)+SUMIF('Seed Keywords'!$C:$C,E31&amp;"#*",'Seed Keywords'!$E:$E)</f>
        <v>0</v>
      </c>
      <c r="U31" s="6" t="s">
        <v>367</v>
      </c>
    </row>
    <row r="32" customFormat="false" ht="23.85" hidden="false" customHeight="false" outlineLevel="0" collapsed="false">
      <c r="A32" s="6" t="s">
        <v>368</v>
      </c>
      <c r="B32" s="6" t="n">
        <v>2</v>
      </c>
      <c r="C32" s="6" t="s">
        <v>145</v>
      </c>
      <c r="D32" s="6" t="s">
        <v>163</v>
      </c>
      <c r="E32" s="6" t="s">
        <v>369</v>
      </c>
      <c r="F32" s="6" t="s">
        <v>370</v>
      </c>
      <c r="G32" s="6"/>
      <c r="H32" s="6" t="s">
        <v>126</v>
      </c>
      <c r="I32" s="6" t="s">
        <v>371</v>
      </c>
      <c r="J32" s="9" t="n">
        <f aca="false">IF(LEFT(I32,1)="(","",LEN(I32))</f>
        <v>43</v>
      </c>
      <c r="K32" s="6" t="s">
        <v>372</v>
      </c>
      <c r="L32" s="8"/>
      <c r="M32" s="6" t="str">
        <f aca="false">IF(L32="","",LEN(L32))</f>
        <v/>
      </c>
      <c r="N32" s="6" t="s">
        <v>168</v>
      </c>
      <c r="O32" s="6" t="s">
        <v>169</v>
      </c>
      <c r="P32" s="6" t="s">
        <v>131</v>
      </c>
      <c r="Q32" s="8" t="s">
        <v>132</v>
      </c>
      <c r="R32" s="6" t="s">
        <v>119</v>
      </c>
      <c r="S32" s="6" t="s">
        <v>373</v>
      </c>
      <c r="T32" s="10" t="n">
        <f aca="false">SUMIF('Seed Keywords'!$C:$C,E32,'Seed Keywords'!$E:$E)+SUMIF('Seed Keywords'!$C:$C,E32&amp;"#*",'Seed Keywords'!$E:$E)</f>
        <v>0</v>
      </c>
      <c r="U32" s="6"/>
    </row>
    <row r="33" customFormat="false" ht="46.25" hidden="false" customHeight="false" outlineLevel="0" collapsed="false">
      <c r="A33" s="6" t="s">
        <v>374</v>
      </c>
      <c r="B33" s="6" t="n">
        <v>2</v>
      </c>
      <c r="C33" s="6" t="s">
        <v>145</v>
      </c>
      <c r="D33" s="6" t="s">
        <v>181</v>
      </c>
      <c r="E33" s="6" t="s">
        <v>375</v>
      </c>
      <c r="F33" s="6" t="s">
        <v>376</v>
      </c>
      <c r="G33" s="6" t="s">
        <v>377</v>
      </c>
      <c r="H33" s="6" t="s">
        <v>185</v>
      </c>
      <c r="I33" s="6" t="s">
        <v>378</v>
      </c>
      <c r="J33" s="9" t="n">
        <f aca="false">IF(LEFT(I33,1)="(","",LEN(I33))</f>
        <v>48</v>
      </c>
      <c r="K33" s="6" t="s">
        <v>379</v>
      </c>
      <c r="L33" s="8"/>
      <c r="M33" s="6" t="str">
        <f aca="false">IF(L33="","",LEN(L33))</f>
        <v/>
      </c>
      <c r="N33" s="6" t="s">
        <v>188</v>
      </c>
      <c r="O33" s="6" t="s">
        <v>189</v>
      </c>
      <c r="P33" s="6" t="s">
        <v>380</v>
      </c>
      <c r="Q33" s="8" t="s">
        <v>132</v>
      </c>
      <c r="R33" s="6" t="s">
        <v>119</v>
      </c>
      <c r="S33" s="6" t="s">
        <v>200</v>
      </c>
      <c r="T33" s="10" t="n">
        <f aca="false">SUMIF('Seed Keywords'!$C:$C,E33,'Seed Keywords'!$E:$E)+SUMIF('Seed Keywords'!$C:$C,E33&amp;"#*",'Seed Keywords'!$E:$E)</f>
        <v>0</v>
      </c>
      <c r="U33" s="6"/>
    </row>
    <row r="34" customFormat="false" ht="46.25" hidden="false" customHeight="false" outlineLevel="0" collapsed="false">
      <c r="A34" s="6" t="s">
        <v>381</v>
      </c>
      <c r="B34" s="6" t="n">
        <v>2</v>
      </c>
      <c r="C34" s="6" t="s">
        <v>145</v>
      </c>
      <c r="D34" s="6" t="s">
        <v>181</v>
      </c>
      <c r="E34" s="6" t="s">
        <v>382</v>
      </c>
      <c r="F34" s="6" t="s">
        <v>383</v>
      </c>
      <c r="G34" s="6" t="s">
        <v>384</v>
      </c>
      <c r="H34" s="6" t="s">
        <v>185</v>
      </c>
      <c r="I34" s="6" t="s">
        <v>385</v>
      </c>
      <c r="J34" s="9" t="n">
        <f aca="false">IF(LEFT(I34,1)="(","",LEN(I34))</f>
        <v>49</v>
      </c>
      <c r="K34" s="6" t="s">
        <v>386</v>
      </c>
      <c r="L34" s="8"/>
      <c r="M34" s="6" t="str">
        <f aca="false">IF(L34="","",LEN(L34))</f>
        <v/>
      </c>
      <c r="N34" s="6" t="s">
        <v>188</v>
      </c>
      <c r="O34" s="6" t="s">
        <v>189</v>
      </c>
      <c r="P34" s="6" t="s">
        <v>387</v>
      </c>
      <c r="Q34" s="8" t="s">
        <v>118</v>
      </c>
      <c r="R34" s="6" t="s">
        <v>119</v>
      </c>
      <c r="S34" s="6" t="s">
        <v>388</v>
      </c>
      <c r="T34" s="10" t="n">
        <f aca="false">SUMIF('Seed Keywords'!$C:$C,E34,'Seed Keywords'!$E:$E)+SUMIF('Seed Keywords'!$C:$C,E34&amp;"#*",'Seed Keywords'!$E:$E)</f>
        <v>0</v>
      </c>
      <c r="U34" s="6" t="s">
        <v>389</v>
      </c>
    </row>
    <row r="35" customFormat="false" ht="46.25" hidden="false" customHeight="false" outlineLevel="0" collapsed="false">
      <c r="A35" s="6" t="s">
        <v>390</v>
      </c>
      <c r="B35" s="6" t="n">
        <v>2</v>
      </c>
      <c r="C35" s="6" t="s">
        <v>145</v>
      </c>
      <c r="D35" s="6" t="s">
        <v>181</v>
      </c>
      <c r="E35" s="6" t="s">
        <v>391</v>
      </c>
      <c r="F35" s="6" t="s">
        <v>392</v>
      </c>
      <c r="G35" s="6" t="s">
        <v>393</v>
      </c>
      <c r="H35" s="6" t="s">
        <v>185</v>
      </c>
      <c r="I35" s="6" t="s">
        <v>394</v>
      </c>
      <c r="J35" s="9" t="n">
        <f aca="false">IF(LEFT(I35,1)="(","",LEN(I35))</f>
        <v>48</v>
      </c>
      <c r="K35" s="6" t="s">
        <v>395</v>
      </c>
      <c r="L35" s="8"/>
      <c r="M35" s="6" t="str">
        <f aca="false">IF(L35="","",LEN(L35))</f>
        <v/>
      </c>
      <c r="N35" s="6" t="s">
        <v>188</v>
      </c>
      <c r="O35" s="6" t="s">
        <v>189</v>
      </c>
      <c r="P35" s="6" t="s">
        <v>396</v>
      </c>
      <c r="Q35" s="8" t="s">
        <v>118</v>
      </c>
      <c r="R35" s="6" t="s">
        <v>119</v>
      </c>
      <c r="S35" s="6" t="s">
        <v>200</v>
      </c>
      <c r="T35" s="10" t="n">
        <f aca="false">SUMIF('Seed Keywords'!$C:$C,E35,'Seed Keywords'!$E:$E)+SUMIF('Seed Keywords'!$C:$C,E35&amp;"#*",'Seed Keywords'!$E:$E)</f>
        <v>0</v>
      </c>
      <c r="U35" s="6"/>
    </row>
    <row r="36" customFormat="false" ht="46.25" hidden="false" customHeight="false" outlineLevel="0" collapsed="false">
      <c r="A36" s="6" t="s">
        <v>397</v>
      </c>
      <c r="B36" s="6" t="n">
        <v>2</v>
      </c>
      <c r="C36" s="6" t="s">
        <v>145</v>
      </c>
      <c r="D36" s="6" t="s">
        <v>181</v>
      </c>
      <c r="E36" s="6" t="s">
        <v>398</v>
      </c>
      <c r="F36" s="6" t="s">
        <v>399</v>
      </c>
      <c r="G36" s="6" t="s">
        <v>400</v>
      </c>
      <c r="H36" s="6" t="s">
        <v>185</v>
      </c>
      <c r="I36" s="6" t="s">
        <v>401</v>
      </c>
      <c r="J36" s="9" t="n">
        <f aca="false">IF(LEFT(I36,1)="(","",LEN(I36))</f>
        <v>45</v>
      </c>
      <c r="K36" s="6" t="s">
        <v>402</v>
      </c>
      <c r="L36" s="8"/>
      <c r="M36" s="6" t="str">
        <f aca="false">IF(L36="","",LEN(L36))</f>
        <v/>
      </c>
      <c r="N36" s="6" t="s">
        <v>188</v>
      </c>
      <c r="O36" s="6" t="s">
        <v>189</v>
      </c>
      <c r="P36" s="6" t="s">
        <v>403</v>
      </c>
      <c r="Q36" s="8" t="s">
        <v>118</v>
      </c>
      <c r="R36" s="6" t="s">
        <v>119</v>
      </c>
      <c r="S36" s="6" t="s">
        <v>200</v>
      </c>
      <c r="T36" s="10" t="n">
        <f aca="false">SUMIF('Seed Keywords'!$C:$C,E36,'Seed Keywords'!$E:$E)+SUMIF('Seed Keywords'!$C:$C,E36&amp;"#*",'Seed Keywords'!$E:$E)</f>
        <v>0</v>
      </c>
      <c r="U36" s="6" t="s">
        <v>404</v>
      </c>
    </row>
    <row r="37" customFormat="false" ht="35.05" hidden="false" customHeight="false" outlineLevel="0" collapsed="false">
      <c r="A37" s="6" t="s">
        <v>405</v>
      </c>
      <c r="B37" s="6" t="n">
        <v>2</v>
      </c>
      <c r="C37" s="6" t="s">
        <v>406</v>
      </c>
      <c r="D37" s="6" t="s">
        <v>407</v>
      </c>
      <c r="E37" s="6" t="s">
        <v>408</v>
      </c>
      <c r="F37" s="6" t="s">
        <v>409</v>
      </c>
      <c r="G37" s="6" t="s">
        <v>410</v>
      </c>
      <c r="H37" s="6" t="s">
        <v>185</v>
      </c>
      <c r="I37" s="6" t="s">
        <v>411</v>
      </c>
      <c r="J37" s="9" t="n">
        <f aca="false">IF(LEFT(I37,1)="(","",LEN(I37))</f>
        <v>44</v>
      </c>
      <c r="K37" s="6" t="s">
        <v>412</v>
      </c>
      <c r="L37" s="8"/>
      <c r="M37" s="6" t="str">
        <f aca="false">IF(L37="","",LEN(L37))</f>
        <v/>
      </c>
      <c r="N37" s="6" t="s">
        <v>413</v>
      </c>
      <c r="O37" s="6" t="s">
        <v>414</v>
      </c>
      <c r="P37" s="6" t="s">
        <v>415</v>
      </c>
      <c r="Q37" s="8" t="s">
        <v>416</v>
      </c>
      <c r="R37" s="6" t="s">
        <v>119</v>
      </c>
      <c r="S37" s="6" t="s">
        <v>417</v>
      </c>
      <c r="T37" s="10" t="n">
        <f aca="false">SUMIF('Seed Keywords'!$C:$C,E37,'Seed Keywords'!$E:$E)+SUMIF('Seed Keywords'!$C:$C,E37&amp;"#*",'Seed Keywords'!$E:$E)</f>
        <v>0</v>
      </c>
      <c r="U37" s="6" t="s">
        <v>418</v>
      </c>
    </row>
    <row r="38" customFormat="false" ht="35.05" hidden="false" customHeight="false" outlineLevel="0" collapsed="false">
      <c r="A38" s="6" t="s">
        <v>419</v>
      </c>
      <c r="B38" s="6" t="n">
        <v>2</v>
      </c>
      <c r="C38" s="6" t="s">
        <v>406</v>
      </c>
      <c r="D38" s="6" t="s">
        <v>407</v>
      </c>
      <c r="E38" s="6" t="s">
        <v>420</v>
      </c>
      <c r="F38" s="6" t="s">
        <v>421</v>
      </c>
      <c r="G38" s="6" t="s">
        <v>422</v>
      </c>
      <c r="H38" s="6" t="s">
        <v>185</v>
      </c>
      <c r="I38" s="6" t="s">
        <v>423</v>
      </c>
      <c r="J38" s="9" t="n">
        <f aca="false">IF(LEFT(I38,1)="(","",LEN(I38))</f>
        <v>45</v>
      </c>
      <c r="K38" s="6" t="s">
        <v>424</v>
      </c>
      <c r="L38" s="8"/>
      <c r="M38" s="6" t="str">
        <f aca="false">IF(L38="","",LEN(L38))</f>
        <v/>
      </c>
      <c r="N38" s="6" t="s">
        <v>413</v>
      </c>
      <c r="O38" s="6" t="s">
        <v>414</v>
      </c>
      <c r="P38" s="6" t="s">
        <v>425</v>
      </c>
      <c r="Q38" s="8" t="s">
        <v>416</v>
      </c>
      <c r="R38" s="6" t="s">
        <v>119</v>
      </c>
      <c r="S38" s="6" t="s">
        <v>417</v>
      </c>
      <c r="T38" s="10" t="n">
        <f aca="false">SUMIF('Seed Keywords'!$C:$C,E38,'Seed Keywords'!$E:$E)+SUMIF('Seed Keywords'!$C:$C,E38&amp;"#*",'Seed Keywords'!$E:$E)</f>
        <v>0</v>
      </c>
      <c r="U38" s="6" t="s">
        <v>418</v>
      </c>
    </row>
    <row r="39" customFormat="false" ht="35.05" hidden="false" customHeight="false" outlineLevel="0" collapsed="false">
      <c r="A39" s="6" t="s">
        <v>426</v>
      </c>
      <c r="B39" s="6" t="n">
        <v>2</v>
      </c>
      <c r="C39" s="6" t="s">
        <v>406</v>
      </c>
      <c r="D39" s="6" t="s">
        <v>407</v>
      </c>
      <c r="E39" s="6" t="s">
        <v>427</v>
      </c>
      <c r="F39" s="6" t="s">
        <v>428</v>
      </c>
      <c r="G39" s="6" t="s">
        <v>429</v>
      </c>
      <c r="H39" s="6" t="s">
        <v>185</v>
      </c>
      <c r="I39" s="6" t="s">
        <v>430</v>
      </c>
      <c r="J39" s="9" t="n">
        <f aca="false">IF(LEFT(I39,1)="(","",LEN(I39))</f>
        <v>44</v>
      </c>
      <c r="K39" s="6" t="s">
        <v>431</v>
      </c>
      <c r="L39" s="8"/>
      <c r="M39" s="6" t="str">
        <f aca="false">IF(L39="","",LEN(L39))</f>
        <v/>
      </c>
      <c r="N39" s="6" t="s">
        <v>413</v>
      </c>
      <c r="O39" s="6" t="s">
        <v>414</v>
      </c>
      <c r="P39" s="6" t="s">
        <v>432</v>
      </c>
      <c r="Q39" s="8" t="s">
        <v>118</v>
      </c>
      <c r="R39" s="6" t="s">
        <v>119</v>
      </c>
      <c r="S39" s="6" t="s">
        <v>417</v>
      </c>
      <c r="T39" s="10" t="n">
        <f aca="false">SUMIF('Seed Keywords'!$C:$C,E39,'Seed Keywords'!$E:$E)+SUMIF('Seed Keywords'!$C:$C,E39&amp;"#*",'Seed Keywords'!$E:$E)</f>
        <v>0</v>
      </c>
      <c r="U39" s="6" t="s">
        <v>418</v>
      </c>
    </row>
    <row r="40" customFormat="false" ht="35.05" hidden="false" customHeight="false" outlineLevel="0" collapsed="false">
      <c r="A40" s="6" t="s">
        <v>433</v>
      </c>
      <c r="B40" s="6" t="n">
        <v>2</v>
      </c>
      <c r="C40" s="6" t="s">
        <v>249</v>
      </c>
      <c r="D40" s="6" t="s">
        <v>249</v>
      </c>
      <c r="E40" s="6" t="s">
        <v>434</v>
      </c>
      <c r="F40" s="6" t="s">
        <v>435</v>
      </c>
      <c r="G40" s="6" t="s">
        <v>436</v>
      </c>
      <c r="H40" s="6" t="s">
        <v>185</v>
      </c>
      <c r="I40" s="6" t="s">
        <v>253</v>
      </c>
      <c r="J40" s="9" t="str">
        <f aca="false">IF(LEFT(I40,1)="(","",LEN(I40))</f>
        <v/>
      </c>
      <c r="K40" s="6" t="s">
        <v>437</v>
      </c>
      <c r="L40" s="8"/>
      <c r="M40" s="6" t="str">
        <f aca="false">IF(L40="","",LEN(L40))</f>
        <v/>
      </c>
      <c r="N40" s="6" t="s">
        <v>255</v>
      </c>
      <c r="O40" s="6" t="s">
        <v>256</v>
      </c>
      <c r="P40" s="6" t="s">
        <v>438</v>
      </c>
      <c r="Q40" s="8" t="s">
        <v>118</v>
      </c>
      <c r="R40" s="6" t="s">
        <v>119</v>
      </c>
      <c r="S40" s="6" t="s">
        <v>439</v>
      </c>
      <c r="T40" s="10" t="n">
        <f aca="false">SUMIF('Seed Keywords'!$C:$C,E40,'Seed Keywords'!$E:$E)+SUMIF('Seed Keywords'!$C:$C,E40&amp;"#*",'Seed Keywords'!$E:$E)</f>
        <v>0</v>
      </c>
      <c r="U40" s="6" t="s">
        <v>418</v>
      </c>
    </row>
    <row r="41" customFormat="false" ht="35.05" hidden="false" customHeight="false" outlineLevel="0" collapsed="false">
      <c r="A41" s="6" t="s">
        <v>440</v>
      </c>
      <c r="B41" s="6" t="n">
        <v>2</v>
      </c>
      <c r="C41" s="6" t="s">
        <v>249</v>
      </c>
      <c r="D41" s="6" t="s">
        <v>249</v>
      </c>
      <c r="E41" s="6" t="s">
        <v>441</v>
      </c>
      <c r="F41" s="6" t="s">
        <v>442</v>
      </c>
      <c r="G41" s="6" t="s">
        <v>443</v>
      </c>
      <c r="H41" s="6" t="s">
        <v>185</v>
      </c>
      <c r="I41" s="6" t="s">
        <v>253</v>
      </c>
      <c r="J41" s="9" t="str">
        <f aca="false">IF(LEFT(I41,1)="(","",LEN(I41))</f>
        <v/>
      </c>
      <c r="K41" s="6" t="s">
        <v>444</v>
      </c>
      <c r="L41" s="8"/>
      <c r="M41" s="6" t="str">
        <f aca="false">IF(L41="","",LEN(L41))</f>
        <v/>
      </c>
      <c r="N41" s="6" t="s">
        <v>255</v>
      </c>
      <c r="O41" s="6" t="s">
        <v>256</v>
      </c>
      <c r="P41" s="6" t="s">
        <v>438</v>
      </c>
      <c r="Q41" s="8" t="s">
        <v>118</v>
      </c>
      <c r="R41" s="6" t="s">
        <v>119</v>
      </c>
      <c r="S41" s="6" t="s">
        <v>439</v>
      </c>
      <c r="T41" s="10" t="n">
        <f aca="false">SUMIF('Seed Keywords'!$C:$C,E41,'Seed Keywords'!$E:$E)+SUMIF('Seed Keywords'!$C:$C,E41&amp;"#*",'Seed Keywords'!$E:$E)</f>
        <v>0</v>
      </c>
      <c r="U41" s="6" t="s">
        <v>418</v>
      </c>
    </row>
    <row r="42" customFormat="false" ht="35.05" hidden="false" customHeight="false" outlineLevel="0" collapsed="false">
      <c r="A42" s="6" t="s">
        <v>445</v>
      </c>
      <c r="B42" s="6" t="n">
        <v>2</v>
      </c>
      <c r="C42" s="6" t="s">
        <v>249</v>
      </c>
      <c r="D42" s="6" t="s">
        <v>249</v>
      </c>
      <c r="E42" s="6" t="s">
        <v>446</v>
      </c>
      <c r="F42" s="6" t="s">
        <v>447</v>
      </c>
      <c r="G42" s="6" t="s">
        <v>448</v>
      </c>
      <c r="H42" s="6" t="s">
        <v>185</v>
      </c>
      <c r="I42" s="6" t="s">
        <v>253</v>
      </c>
      <c r="J42" s="9" t="str">
        <f aca="false">IF(LEFT(I42,1)="(","",LEN(I42))</f>
        <v/>
      </c>
      <c r="K42" s="6" t="s">
        <v>449</v>
      </c>
      <c r="L42" s="8"/>
      <c r="M42" s="6" t="str">
        <f aca="false">IF(L42="","",LEN(L42))</f>
        <v/>
      </c>
      <c r="N42" s="6" t="s">
        <v>255</v>
      </c>
      <c r="O42" s="6" t="s">
        <v>256</v>
      </c>
      <c r="P42" s="6" t="s">
        <v>450</v>
      </c>
      <c r="Q42" s="8" t="s">
        <v>118</v>
      </c>
      <c r="R42" s="6" t="s">
        <v>119</v>
      </c>
      <c r="S42" s="6" t="s">
        <v>439</v>
      </c>
      <c r="T42" s="10" t="n">
        <f aca="false">SUMIF('Seed Keywords'!$C:$C,E42,'Seed Keywords'!$E:$E)+SUMIF('Seed Keywords'!$C:$C,E42&amp;"#*",'Seed Keywords'!$E:$E)</f>
        <v>0</v>
      </c>
      <c r="U42" s="6" t="s">
        <v>418</v>
      </c>
    </row>
    <row r="43" customFormat="false" ht="35.05" hidden="false" customHeight="false" outlineLevel="0" collapsed="false">
      <c r="A43" s="6" t="s">
        <v>451</v>
      </c>
      <c r="B43" s="6" t="n">
        <v>2</v>
      </c>
      <c r="C43" s="6" t="s">
        <v>249</v>
      </c>
      <c r="D43" s="6" t="s">
        <v>249</v>
      </c>
      <c r="E43" s="6" t="s">
        <v>452</v>
      </c>
      <c r="F43" s="6" t="s">
        <v>453</v>
      </c>
      <c r="G43" s="6" t="s">
        <v>454</v>
      </c>
      <c r="H43" s="6" t="s">
        <v>185</v>
      </c>
      <c r="I43" s="6" t="s">
        <v>253</v>
      </c>
      <c r="J43" s="9" t="str">
        <f aca="false">IF(LEFT(I43,1)="(","",LEN(I43))</f>
        <v/>
      </c>
      <c r="K43" s="6" t="s">
        <v>455</v>
      </c>
      <c r="L43" s="8"/>
      <c r="M43" s="6" t="str">
        <f aca="false">IF(L43="","",LEN(L43))</f>
        <v/>
      </c>
      <c r="N43" s="6" t="s">
        <v>255</v>
      </c>
      <c r="O43" s="6" t="s">
        <v>256</v>
      </c>
      <c r="P43" s="6" t="s">
        <v>456</v>
      </c>
      <c r="Q43" s="8" t="s">
        <v>118</v>
      </c>
      <c r="R43" s="6" t="s">
        <v>119</v>
      </c>
      <c r="S43" s="6" t="s">
        <v>439</v>
      </c>
      <c r="T43" s="10" t="n">
        <f aca="false">SUMIF('Seed Keywords'!$C:$C,E43,'Seed Keywords'!$E:$E)+SUMIF('Seed Keywords'!$C:$C,E43&amp;"#*",'Seed Keywords'!$E:$E)</f>
        <v>0</v>
      </c>
      <c r="U43" s="6" t="s">
        <v>418</v>
      </c>
    </row>
    <row r="44" customFormat="false" ht="35.05" hidden="false" customHeight="false" outlineLevel="0" collapsed="false">
      <c r="A44" s="6" t="s">
        <v>457</v>
      </c>
      <c r="B44" s="6" t="n">
        <v>2</v>
      </c>
      <c r="C44" s="6" t="s">
        <v>249</v>
      </c>
      <c r="D44" s="6" t="s">
        <v>249</v>
      </c>
      <c r="E44" s="6" t="s">
        <v>458</v>
      </c>
      <c r="F44" s="6" t="s">
        <v>459</v>
      </c>
      <c r="G44" s="6" t="s">
        <v>460</v>
      </c>
      <c r="H44" s="6" t="s">
        <v>185</v>
      </c>
      <c r="I44" s="6" t="s">
        <v>253</v>
      </c>
      <c r="J44" s="9" t="str">
        <f aca="false">IF(LEFT(I44,1)="(","",LEN(I44))</f>
        <v/>
      </c>
      <c r="K44" s="6" t="s">
        <v>461</v>
      </c>
      <c r="L44" s="8"/>
      <c r="M44" s="6" t="str">
        <f aca="false">IF(L44="","",LEN(L44))</f>
        <v/>
      </c>
      <c r="N44" s="6" t="s">
        <v>255</v>
      </c>
      <c r="O44" s="6" t="s">
        <v>256</v>
      </c>
      <c r="P44" s="6" t="s">
        <v>462</v>
      </c>
      <c r="Q44" s="8" t="s">
        <v>118</v>
      </c>
      <c r="R44" s="6" t="s">
        <v>119</v>
      </c>
      <c r="S44" s="6" t="s">
        <v>439</v>
      </c>
      <c r="T44" s="10" t="n">
        <f aca="false">SUMIF('Seed Keywords'!$C:$C,E44,'Seed Keywords'!$E:$E)+SUMIF('Seed Keywords'!$C:$C,E44&amp;"#*",'Seed Keywords'!$E:$E)</f>
        <v>0</v>
      </c>
      <c r="U44" s="6" t="s">
        <v>418</v>
      </c>
    </row>
    <row r="45" customFormat="false" ht="35.05" hidden="false" customHeight="false" outlineLevel="0" collapsed="false">
      <c r="A45" s="6" t="s">
        <v>463</v>
      </c>
      <c r="B45" s="6" t="n">
        <v>2</v>
      </c>
      <c r="C45" s="6" t="s">
        <v>249</v>
      </c>
      <c r="D45" s="6" t="s">
        <v>249</v>
      </c>
      <c r="E45" s="6" t="s">
        <v>464</v>
      </c>
      <c r="F45" s="6" t="s">
        <v>465</v>
      </c>
      <c r="G45" s="6" t="s">
        <v>466</v>
      </c>
      <c r="H45" s="6" t="s">
        <v>185</v>
      </c>
      <c r="I45" s="6" t="s">
        <v>253</v>
      </c>
      <c r="J45" s="9" t="str">
        <f aca="false">IF(LEFT(I45,1)="(","",LEN(I45))</f>
        <v/>
      </c>
      <c r="K45" s="6" t="s">
        <v>467</v>
      </c>
      <c r="L45" s="8"/>
      <c r="M45" s="6" t="str">
        <f aca="false">IF(L45="","",LEN(L45))</f>
        <v/>
      </c>
      <c r="N45" s="6" t="s">
        <v>255</v>
      </c>
      <c r="O45" s="6" t="s">
        <v>256</v>
      </c>
      <c r="P45" s="6" t="s">
        <v>462</v>
      </c>
      <c r="Q45" s="8" t="s">
        <v>118</v>
      </c>
      <c r="R45" s="6" t="s">
        <v>119</v>
      </c>
      <c r="S45" s="6" t="s">
        <v>439</v>
      </c>
      <c r="T45" s="10" t="n">
        <f aca="false">SUMIF('Seed Keywords'!$C:$C,E45,'Seed Keywords'!$E:$E)+SUMIF('Seed Keywords'!$C:$C,E45&amp;"#*",'Seed Keywords'!$E:$E)</f>
        <v>0</v>
      </c>
      <c r="U45" s="6" t="s">
        <v>418</v>
      </c>
    </row>
    <row r="46" customFormat="false" ht="35.05" hidden="false" customHeight="false" outlineLevel="0" collapsed="false">
      <c r="A46" s="6" t="s">
        <v>468</v>
      </c>
      <c r="B46" s="6" t="n">
        <v>2</v>
      </c>
      <c r="C46" s="6" t="s">
        <v>249</v>
      </c>
      <c r="D46" s="6" t="s">
        <v>249</v>
      </c>
      <c r="E46" s="6" t="s">
        <v>469</v>
      </c>
      <c r="F46" s="6" t="s">
        <v>470</v>
      </c>
      <c r="G46" s="6" t="s">
        <v>471</v>
      </c>
      <c r="H46" s="6" t="s">
        <v>185</v>
      </c>
      <c r="I46" s="6" t="s">
        <v>253</v>
      </c>
      <c r="J46" s="9" t="str">
        <f aca="false">IF(LEFT(I46,1)="(","",LEN(I46))</f>
        <v/>
      </c>
      <c r="K46" s="6" t="s">
        <v>472</v>
      </c>
      <c r="L46" s="8"/>
      <c r="M46" s="6" t="str">
        <f aca="false">IF(L46="","",LEN(L46))</f>
        <v/>
      </c>
      <c r="N46" s="6" t="s">
        <v>255</v>
      </c>
      <c r="O46" s="6" t="s">
        <v>256</v>
      </c>
      <c r="P46" s="6" t="s">
        <v>473</v>
      </c>
      <c r="Q46" s="8" t="s">
        <v>118</v>
      </c>
      <c r="R46" s="6" t="s">
        <v>119</v>
      </c>
      <c r="S46" s="6" t="s">
        <v>439</v>
      </c>
      <c r="T46" s="10" t="n">
        <f aca="false">SUMIF('Seed Keywords'!$C:$C,E46,'Seed Keywords'!$E:$E)+SUMIF('Seed Keywords'!$C:$C,E46&amp;"#*",'Seed Keywords'!$E:$E)</f>
        <v>0</v>
      </c>
      <c r="U46" s="6" t="s">
        <v>418</v>
      </c>
    </row>
    <row r="47" customFormat="false" ht="35.05" hidden="false" customHeight="false" outlineLevel="0" collapsed="false">
      <c r="A47" s="6" t="s">
        <v>474</v>
      </c>
      <c r="B47" s="6" t="n">
        <v>2</v>
      </c>
      <c r="C47" s="6" t="s">
        <v>249</v>
      </c>
      <c r="D47" s="6" t="s">
        <v>249</v>
      </c>
      <c r="E47" s="6" t="s">
        <v>475</v>
      </c>
      <c r="F47" s="6" t="s">
        <v>476</v>
      </c>
      <c r="G47" s="6" t="s">
        <v>477</v>
      </c>
      <c r="H47" s="6" t="s">
        <v>185</v>
      </c>
      <c r="I47" s="6" t="s">
        <v>253</v>
      </c>
      <c r="J47" s="9" t="str">
        <f aca="false">IF(LEFT(I47,1)="(","",LEN(I47))</f>
        <v/>
      </c>
      <c r="K47" s="6" t="s">
        <v>478</v>
      </c>
      <c r="L47" s="8"/>
      <c r="M47" s="6" t="str">
        <f aca="false">IF(L47="","",LEN(L47))</f>
        <v/>
      </c>
      <c r="N47" s="6" t="s">
        <v>255</v>
      </c>
      <c r="O47" s="6" t="s">
        <v>256</v>
      </c>
      <c r="P47" s="6" t="s">
        <v>473</v>
      </c>
      <c r="Q47" s="8" t="s">
        <v>118</v>
      </c>
      <c r="R47" s="6" t="s">
        <v>119</v>
      </c>
      <c r="S47" s="6" t="s">
        <v>439</v>
      </c>
      <c r="T47" s="10" t="n">
        <f aca="false">SUMIF('Seed Keywords'!$C:$C,E47,'Seed Keywords'!$E:$E)+SUMIF('Seed Keywords'!$C:$C,E47&amp;"#*",'Seed Keywords'!$E:$E)</f>
        <v>0</v>
      </c>
      <c r="U47" s="6" t="s">
        <v>418</v>
      </c>
    </row>
    <row r="48" customFormat="false" ht="35.05" hidden="false" customHeight="false" outlineLevel="0" collapsed="false">
      <c r="A48" s="6" t="s">
        <v>479</v>
      </c>
      <c r="B48" s="6" t="n">
        <v>2</v>
      </c>
      <c r="C48" s="6" t="s">
        <v>249</v>
      </c>
      <c r="D48" s="6" t="s">
        <v>249</v>
      </c>
      <c r="E48" s="6" t="s">
        <v>480</v>
      </c>
      <c r="F48" s="6" t="s">
        <v>481</v>
      </c>
      <c r="G48" s="6" t="s">
        <v>482</v>
      </c>
      <c r="H48" s="6" t="s">
        <v>185</v>
      </c>
      <c r="I48" s="6" t="s">
        <v>253</v>
      </c>
      <c r="J48" s="9" t="str">
        <f aca="false">IF(LEFT(I48,1)="(","",LEN(I48))</f>
        <v/>
      </c>
      <c r="K48" s="6" t="s">
        <v>483</v>
      </c>
      <c r="L48" s="8"/>
      <c r="M48" s="6" t="str">
        <f aca="false">IF(L48="","",LEN(L48))</f>
        <v/>
      </c>
      <c r="N48" s="6" t="s">
        <v>255</v>
      </c>
      <c r="O48" s="6" t="s">
        <v>256</v>
      </c>
      <c r="P48" s="6" t="s">
        <v>484</v>
      </c>
      <c r="Q48" s="8" t="s">
        <v>118</v>
      </c>
      <c r="R48" s="6" t="s">
        <v>119</v>
      </c>
      <c r="S48" s="6" t="s">
        <v>485</v>
      </c>
      <c r="T48" s="10" t="n">
        <f aca="false">SUMIF('Seed Keywords'!$C:$C,E48,'Seed Keywords'!$E:$E)+SUMIF('Seed Keywords'!$C:$C,E48&amp;"#*",'Seed Keywords'!$E:$E)</f>
        <v>0</v>
      </c>
      <c r="U48" s="6" t="s">
        <v>486</v>
      </c>
    </row>
    <row r="49" customFormat="false" ht="35.05" hidden="false" customHeight="false" outlineLevel="0" collapsed="false">
      <c r="A49" s="6" t="s">
        <v>487</v>
      </c>
      <c r="B49" s="6" t="n">
        <v>2</v>
      </c>
      <c r="C49" s="6" t="s">
        <v>249</v>
      </c>
      <c r="D49" s="6" t="s">
        <v>249</v>
      </c>
      <c r="E49" s="6" t="s">
        <v>488</v>
      </c>
      <c r="F49" s="6" t="s">
        <v>489</v>
      </c>
      <c r="G49" s="6" t="s">
        <v>490</v>
      </c>
      <c r="H49" s="6" t="s">
        <v>185</v>
      </c>
      <c r="I49" s="6" t="s">
        <v>253</v>
      </c>
      <c r="J49" s="9" t="str">
        <f aca="false">IF(LEFT(I49,1)="(","",LEN(I49))</f>
        <v/>
      </c>
      <c r="K49" s="6" t="s">
        <v>491</v>
      </c>
      <c r="L49" s="8"/>
      <c r="M49" s="6" t="str">
        <f aca="false">IF(L49="","",LEN(L49))</f>
        <v/>
      </c>
      <c r="N49" s="6" t="s">
        <v>255</v>
      </c>
      <c r="O49" s="6" t="s">
        <v>256</v>
      </c>
      <c r="P49" s="6" t="s">
        <v>492</v>
      </c>
      <c r="Q49" s="8" t="s">
        <v>132</v>
      </c>
      <c r="R49" s="6" t="s">
        <v>119</v>
      </c>
      <c r="S49" s="6" t="s">
        <v>485</v>
      </c>
      <c r="T49" s="10" t="n">
        <f aca="false">SUMIF('Seed Keywords'!$C:$C,E49,'Seed Keywords'!$E:$E)+SUMIF('Seed Keywords'!$C:$C,E49&amp;"#*",'Seed Keywords'!$E:$E)</f>
        <v>0</v>
      </c>
      <c r="U49" s="6" t="s">
        <v>486</v>
      </c>
    </row>
    <row r="50" customFormat="false" ht="46.25" hidden="false" customHeight="false" outlineLevel="0" collapsed="false">
      <c r="A50" s="6" t="s">
        <v>493</v>
      </c>
      <c r="B50" s="6" t="n">
        <v>2</v>
      </c>
      <c r="C50" s="6" t="s">
        <v>406</v>
      </c>
      <c r="D50" s="6" t="s">
        <v>261</v>
      </c>
      <c r="E50" s="6" t="s">
        <v>494</v>
      </c>
      <c r="F50" s="6" t="s">
        <v>495</v>
      </c>
      <c r="G50" s="6" t="s">
        <v>496</v>
      </c>
      <c r="H50" s="6" t="s">
        <v>185</v>
      </c>
      <c r="I50" s="6" t="s">
        <v>497</v>
      </c>
      <c r="J50" s="9" t="n">
        <f aca="false">IF(LEFT(I50,1)="(","",LEN(I50))</f>
        <v>50</v>
      </c>
      <c r="K50" s="6" t="s">
        <v>498</v>
      </c>
      <c r="L50" s="8"/>
      <c r="M50" s="6" t="str">
        <f aca="false">IF(L50="","",LEN(L50))</f>
        <v/>
      </c>
      <c r="N50" s="6" t="s">
        <v>267</v>
      </c>
      <c r="O50" s="6" t="s">
        <v>268</v>
      </c>
      <c r="P50" s="6" t="s">
        <v>269</v>
      </c>
      <c r="Q50" s="8" t="s">
        <v>416</v>
      </c>
      <c r="R50" s="6" t="s">
        <v>119</v>
      </c>
      <c r="S50" s="6" t="s">
        <v>270</v>
      </c>
      <c r="T50" s="10" t="n">
        <f aca="false">SUMIF('Seed Keywords'!$C:$C,E50,'Seed Keywords'!$E:$E)+SUMIF('Seed Keywords'!$C:$C,E50&amp;"#*",'Seed Keywords'!$E:$E)</f>
        <v>0</v>
      </c>
      <c r="U50" s="6" t="s">
        <v>499</v>
      </c>
    </row>
    <row r="51" customFormat="false" ht="46.25" hidden="false" customHeight="false" outlineLevel="0" collapsed="false">
      <c r="A51" s="6" t="s">
        <v>500</v>
      </c>
      <c r="B51" s="6" t="n">
        <v>2</v>
      </c>
      <c r="C51" s="6" t="s">
        <v>406</v>
      </c>
      <c r="D51" s="6" t="s">
        <v>261</v>
      </c>
      <c r="E51" s="6" t="s">
        <v>501</v>
      </c>
      <c r="F51" s="6" t="s">
        <v>502</v>
      </c>
      <c r="G51" s="6" t="s">
        <v>503</v>
      </c>
      <c r="H51" s="6" t="s">
        <v>185</v>
      </c>
      <c r="I51" s="6" t="s">
        <v>504</v>
      </c>
      <c r="J51" s="9" t="n">
        <f aca="false">IF(LEFT(I51,1)="(","",LEN(I51))</f>
        <v>49</v>
      </c>
      <c r="K51" s="6" t="s">
        <v>505</v>
      </c>
      <c r="L51" s="8"/>
      <c r="M51" s="6" t="str">
        <f aca="false">IF(L51="","",LEN(L51))</f>
        <v/>
      </c>
      <c r="N51" s="6" t="s">
        <v>267</v>
      </c>
      <c r="O51" s="6" t="s">
        <v>268</v>
      </c>
      <c r="P51" s="6" t="s">
        <v>269</v>
      </c>
      <c r="Q51" s="8" t="s">
        <v>416</v>
      </c>
      <c r="R51" s="6" t="s">
        <v>119</v>
      </c>
      <c r="S51" s="6" t="s">
        <v>270</v>
      </c>
      <c r="T51" s="10" t="n">
        <f aca="false">SUMIF('Seed Keywords'!$C:$C,E51,'Seed Keywords'!$E:$E)+SUMIF('Seed Keywords'!$C:$C,E51&amp;"#*",'Seed Keywords'!$E:$E)</f>
        <v>0</v>
      </c>
      <c r="U51" s="6" t="s">
        <v>506</v>
      </c>
    </row>
    <row r="52" customFormat="false" ht="46.25" hidden="false" customHeight="false" outlineLevel="0" collapsed="false">
      <c r="A52" s="6" t="s">
        <v>507</v>
      </c>
      <c r="B52" s="6" t="n">
        <v>2</v>
      </c>
      <c r="C52" s="6" t="s">
        <v>406</v>
      </c>
      <c r="D52" s="6" t="s">
        <v>261</v>
      </c>
      <c r="E52" s="6" t="s">
        <v>508</v>
      </c>
      <c r="F52" s="6" t="s">
        <v>509</v>
      </c>
      <c r="G52" s="6" t="s">
        <v>510</v>
      </c>
      <c r="H52" s="6" t="s">
        <v>185</v>
      </c>
      <c r="I52" s="6" t="s">
        <v>511</v>
      </c>
      <c r="J52" s="9" t="n">
        <f aca="false">IF(LEFT(I52,1)="(","",LEN(I52))</f>
        <v>46</v>
      </c>
      <c r="K52" s="6" t="s">
        <v>512</v>
      </c>
      <c r="L52" s="8"/>
      <c r="M52" s="6" t="str">
        <f aca="false">IF(L52="","",LEN(L52))</f>
        <v/>
      </c>
      <c r="N52" s="6" t="s">
        <v>267</v>
      </c>
      <c r="O52" s="6" t="s">
        <v>268</v>
      </c>
      <c r="P52" s="6" t="s">
        <v>269</v>
      </c>
      <c r="Q52" s="8" t="s">
        <v>416</v>
      </c>
      <c r="R52" s="6" t="s">
        <v>119</v>
      </c>
      <c r="S52" s="6" t="s">
        <v>270</v>
      </c>
      <c r="T52" s="10" t="n">
        <f aca="false">SUMIF('Seed Keywords'!$C:$C,E52,'Seed Keywords'!$E:$E)+SUMIF('Seed Keywords'!$C:$C,E52&amp;"#*",'Seed Keywords'!$E:$E)</f>
        <v>0</v>
      </c>
      <c r="U52" s="6" t="s">
        <v>499</v>
      </c>
    </row>
    <row r="53" customFormat="false" ht="46.25" hidden="false" customHeight="false" outlineLevel="0" collapsed="false">
      <c r="A53" s="6" t="s">
        <v>513</v>
      </c>
      <c r="B53" s="6" t="n">
        <v>2</v>
      </c>
      <c r="C53" s="6" t="s">
        <v>406</v>
      </c>
      <c r="D53" s="6" t="s">
        <v>261</v>
      </c>
      <c r="E53" s="6" t="s">
        <v>514</v>
      </c>
      <c r="F53" s="6" t="s">
        <v>515</v>
      </c>
      <c r="G53" s="6" t="s">
        <v>516</v>
      </c>
      <c r="H53" s="6" t="s">
        <v>185</v>
      </c>
      <c r="I53" s="6" t="s">
        <v>517</v>
      </c>
      <c r="J53" s="9" t="n">
        <f aca="false">IF(LEFT(I53,1)="(","",LEN(I53))</f>
        <v>46</v>
      </c>
      <c r="K53" s="6" t="s">
        <v>518</v>
      </c>
      <c r="L53" s="8"/>
      <c r="M53" s="6" t="str">
        <f aca="false">IF(L53="","",LEN(L53))</f>
        <v/>
      </c>
      <c r="N53" s="6" t="s">
        <v>267</v>
      </c>
      <c r="O53" s="6" t="s">
        <v>268</v>
      </c>
      <c r="P53" s="6" t="s">
        <v>269</v>
      </c>
      <c r="Q53" s="8" t="s">
        <v>416</v>
      </c>
      <c r="R53" s="6" t="s">
        <v>119</v>
      </c>
      <c r="S53" s="6" t="s">
        <v>270</v>
      </c>
      <c r="T53" s="10" t="n">
        <f aca="false">SUMIF('Seed Keywords'!$C:$C,E53,'Seed Keywords'!$E:$E)+SUMIF('Seed Keywords'!$C:$C,E53&amp;"#*",'Seed Keywords'!$E:$E)</f>
        <v>0</v>
      </c>
      <c r="U53" s="6" t="s">
        <v>499</v>
      </c>
    </row>
    <row r="54" customFormat="false" ht="35.05" hidden="false" customHeight="false" outlineLevel="0" collapsed="false">
      <c r="A54" s="6" t="s">
        <v>519</v>
      </c>
      <c r="B54" s="6" t="n">
        <v>2</v>
      </c>
      <c r="C54" s="6" t="s">
        <v>173</v>
      </c>
      <c r="D54" s="6" t="s">
        <v>280</v>
      </c>
      <c r="E54" s="6" t="s">
        <v>520</v>
      </c>
      <c r="F54" s="6" t="s">
        <v>521</v>
      </c>
      <c r="G54" s="6"/>
      <c r="H54" s="6" t="s">
        <v>283</v>
      </c>
      <c r="I54" s="6" t="s">
        <v>522</v>
      </c>
      <c r="J54" s="9" t="n">
        <f aca="false">IF(LEFT(I54,1)="(","",LEN(I54))</f>
        <v>32</v>
      </c>
      <c r="K54" s="6" t="s">
        <v>523</v>
      </c>
      <c r="L54" s="8"/>
      <c r="M54" s="6" t="str">
        <f aca="false">IF(L54="","",LEN(L54))</f>
        <v/>
      </c>
      <c r="N54" s="6" t="s">
        <v>286</v>
      </c>
      <c r="O54" s="6" t="s">
        <v>287</v>
      </c>
      <c r="P54" s="6" t="s">
        <v>288</v>
      </c>
      <c r="Q54" s="8" t="s">
        <v>132</v>
      </c>
      <c r="R54" s="6" t="s">
        <v>119</v>
      </c>
      <c r="S54" s="6" t="s">
        <v>301</v>
      </c>
      <c r="T54" s="10" t="n">
        <f aca="false">SUMIF('Seed Keywords'!$C:$C,E54,'Seed Keywords'!$E:$E)+SUMIF('Seed Keywords'!$C:$C,E54&amp;"#*",'Seed Keywords'!$E:$E)</f>
        <v>0</v>
      </c>
      <c r="U54" s="6" t="s">
        <v>290</v>
      </c>
    </row>
    <row r="55" customFormat="false" ht="35.05" hidden="false" customHeight="false" outlineLevel="0" collapsed="false">
      <c r="A55" s="6" t="s">
        <v>524</v>
      </c>
      <c r="B55" s="6" t="n">
        <v>2</v>
      </c>
      <c r="C55" s="6" t="s">
        <v>173</v>
      </c>
      <c r="D55" s="6" t="s">
        <v>280</v>
      </c>
      <c r="E55" s="6" t="s">
        <v>525</v>
      </c>
      <c r="F55" s="6" t="s">
        <v>526</v>
      </c>
      <c r="G55" s="6"/>
      <c r="H55" s="6" t="s">
        <v>283</v>
      </c>
      <c r="I55" s="6" t="s">
        <v>527</v>
      </c>
      <c r="J55" s="9" t="n">
        <f aca="false">IF(LEFT(I55,1)="(","",LEN(I55))</f>
        <v>25</v>
      </c>
      <c r="K55" s="6" t="s">
        <v>528</v>
      </c>
      <c r="L55" s="8"/>
      <c r="M55" s="6" t="str">
        <f aca="false">IF(L55="","",LEN(L55))</f>
        <v/>
      </c>
      <c r="N55" s="6" t="s">
        <v>286</v>
      </c>
      <c r="O55" s="6" t="s">
        <v>287</v>
      </c>
      <c r="P55" s="6" t="s">
        <v>288</v>
      </c>
      <c r="Q55" s="8" t="s">
        <v>132</v>
      </c>
      <c r="R55" s="6" t="s">
        <v>119</v>
      </c>
      <c r="S55" s="6" t="s">
        <v>301</v>
      </c>
      <c r="T55" s="10" t="n">
        <f aca="false">SUMIF('Seed Keywords'!$C:$C,E55,'Seed Keywords'!$E:$E)+SUMIF('Seed Keywords'!$C:$C,E55&amp;"#*",'Seed Keywords'!$E:$E)</f>
        <v>0</v>
      </c>
      <c r="U55" s="6" t="s">
        <v>290</v>
      </c>
    </row>
    <row r="56" customFormat="false" ht="35.05" hidden="false" customHeight="false" outlineLevel="0" collapsed="false">
      <c r="A56" s="6" t="s">
        <v>529</v>
      </c>
      <c r="B56" s="6" t="n">
        <v>2</v>
      </c>
      <c r="C56" s="6" t="s">
        <v>173</v>
      </c>
      <c r="D56" s="6" t="s">
        <v>280</v>
      </c>
      <c r="E56" s="6" t="s">
        <v>530</v>
      </c>
      <c r="F56" s="6" t="s">
        <v>531</v>
      </c>
      <c r="G56" s="6"/>
      <c r="H56" s="6" t="s">
        <v>283</v>
      </c>
      <c r="I56" s="6" t="s">
        <v>532</v>
      </c>
      <c r="J56" s="9" t="n">
        <f aca="false">IF(LEFT(I56,1)="(","",LEN(I56))</f>
        <v>28</v>
      </c>
      <c r="K56" s="6" t="s">
        <v>533</v>
      </c>
      <c r="L56" s="8"/>
      <c r="M56" s="6" t="str">
        <f aca="false">IF(L56="","",LEN(L56))</f>
        <v/>
      </c>
      <c r="N56" s="6" t="s">
        <v>286</v>
      </c>
      <c r="O56" s="6" t="s">
        <v>287</v>
      </c>
      <c r="P56" s="6" t="s">
        <v>288</v>
      </c>
      <c r="Q56" s="8" t="s">
        <v>132</v>
      </c>
      <c r="R56" s="6" t="s">
        <v>119</v>
      </c>
      <c r="S56" s="6" t="s">
        <v>534</v>
      </c>
      <c r="T56" s="10" t="n">
        <f aca="false">SUMIF('Seed Keywords'!$C:$C,E56,'Seed Keywords'!$E:$E)+SUMIF('Seed Keywords'!$C:$C,E56&amp;"#*",'Seed Keywords'!$E:$E)</f>
        <v>0</v>
      </c>
      <c r="U56" s="6" t="s">
        <v>290</v>
      </c>
    </row>
    <row r="57" customFormat="false" ht="35.05" hidden="false" customHeight="false" outlineLevel="0" collapsed="false">
      <c r="A57" s="6" t="s">
        <v>535</v>
      </c>
      <c r="B57" s="6" t="n">
        <v>2</v>
      </c>
      <c r="C57" s="6" t="s">
        <v>173</v>
      </c>
      <c r="D57" s="6" t="s">
        <v>280</v>
      </c>
      <c r="E57" s="6" t="s">
        <v>536</v>
      </c>
      <c r="F57" s="6" t="s">
        <v>537</v>
      </c>
      <c r="G57" s="6"/>
      <c r="H57" s="6" t="s">
        <v>283</v>
      </c>
      <c r="I57" s="6" t="s">
        <v>538</v>
      </c>
      <c r="J57" s="9" t="n">
        <f aca="false">IF(LEFT(I57,1)="(","",LEN(I57))</f>
        <v>28</v>
      </c>
      <c r="K57" s="6" t="s">
        <v>539</v>
      </c>
      <c r="L57" s="8"/>
      <c r="M57" s="6" t="str">
        <f aca="false">IF(L57="","",LEN(L57))</f>
        <v/>
      </c>
      <c r="N57" s="6" t="s">
        <v>286</v>
      </c>
      <c r="O57" s="6" t="s">
        <v>287</v>
      </c>
      <c r="P57" s="6" t="s">
        <v>288</v>
      </c>
      <c r="Q57" s="8" t="s">
        <v>132</v>
      </c>
      <c r="R57" s="6" t="s">
        <v>119</v>
      </c>
      <c r="S57" s="6" t="s">
        <v>534</v>
      </c>
      <c r="T57" s="10" t="n">
        <f aca="false">SUMIF('Seed Keywords'!$C:$C,E57,'Seed Keywords'!$E:$E)+SUMIF('Seed Keywords'!$C:$C,E57&amp;"#*",'Seed Keywords'!$E:$E)</f>
        <v>0</v>
      </c>
      <c r="U57" s="6" t="s">
        <v>290</v>
      </c>
    </row>
    <row r="58" customFormat="false" ht="23.85" hidden="false" customHeight="false" outlineLevel="0" collapsed="false">
      <c r="A58" s="6" t="s">
        <v>540</v>
      </c>
      <c r="B58" s="6" t="n">
        <v>2</v>
      </c>
      <c r="C58" s="6" t="s">
        <v>145</v>
      </c>
      <c r="D58" s="6" t="s">
        <v>315</v>
      </c>
      <c r="E58" s="6" t="s">
        <v>541</v>
      </c>
      <c r="F58" s="6" t="s">
        <v>542</v>
      </c>
      <c r="G58" s="6" t="s">
        <v>543</v>
      </c>
      <c r="H58" s="6" t="s">
        <v>319</v>
      </c>
      <c r="I58" s="6" t="s">
        <v>544</v>
      </c>
      <c r="J58" s="9" t="n">
        <f aca="false">IF(LEFT(I58,1)="(","",LEN(I58))</f>
        <v>39</v>
      </c>
      <c r="K58" s="6" t="s">
        <v>544</v>
      </c>
      <c r="L58" s="8"/>
      <c r="M58" s="6" t="str">
        <f aca="false">IF(L58="","",LEN(L58))</f>
        <v/>
      </c>
      <c r="N58" s="6" t="s">
        <v>321</v>
      </c>
      <c r="O58" s="6" t="s">
        <v>322</v>
      </c>
      <c r="P58" s="6" t="s">
        <v>323</v>
      </c>
      <c r="Q58" s="8" t="s">
        <v>118</v>
      </c>
      <c r="R58" s="6" t="s">
        <v>119</v>
      </c>
      <c r="S58" s="6" t="s">
        <v>203</v>
      </c>
      <c r="T58" s="10" t="n">
        <f aca="false">SUMIF('Seed Keywords'!$C:$C,E58,'Seed Keywords'!$E:$E)+SUMIF('Seed Keywords'!$C:$C,E58&amp;"#*",'Seed Keywords'!$E:$E)</f>
        <v>0</v>
      </c>
      <c r="U58" s="6"/>
    </row>
    <row r="59" customFormat="false" ht="23.85" hidden="false" customHeight="false" outlineLevel="0" collapsed="false">
      <c r="A59" s="6" t="s">
        <v>545</v>
      </c>
      <c r="B59" s="6" t="n">
        <v>2</v>
      </c>
      <c r="C59" s="6" t="s">
        <v>145</v>
      </c>
      <c r="D59" s="6" t="s">
        <v>315</v>
      </c>
      <c r="E59" s="6" t="s">
        <v>546</v>
      </c>
      <c r="F59" s="6" t="s">
        <v>547</v>
      </c>
      <c r="G59" s="6" t="s">
        <v>548</v>
      </c>
      <c r="H59" s="6" t="s">
        <v>319</v>
      </c>
      <c r="I59" s="6" t="s">
        <v>549</v>
      </c>
      <c r="J59" s="9" t="n">
        <f aca="false">IF(LEFT(I59,1)="(","",LEN(I59))</f>
        <v>45</v>
      </c>
      <c r="K59" s="6" t="s">
        <v>549</v>
      </c>
      <c r="L59" s="8"/>
      <c r="M59" s="6" t="str">
        <f aca="false">IF(L59="","",LEN(L59))</f>
        <v/>
      </c>
      <c r="N59" s="6" t="s">
        <v>321</v>
      </c>
      <c r="O59" s="6" t="s">
        <v>322</v>
      </c>
      <c r="P59" s="6" t="s">
        <v>323</v>
      </c>
      <c r="Q59" s="8" t="s">
        <v>118</v>
      </c>
      <c r="R59" s="6" t="s">
        <v>119</v>
      </c>
      <c r="S59" s="6" t="s">
        <v>203</v>
      </c>
      <c r="T59" s="10" t="n">
        <f aca="false">SUMIF('Seed Keywords'!$C:$C,E59,'Seed Keywords'!$E:$E)+SUMIF('Seed Keywords'!$C:$C,E59&amp;"#*",'Seed Keywords'!$E:$E)</f>
        <v>0</v>
      </c>
      <c r="U59" s="6"/>
    </row>
    <row r="60" customFormat="false" ht="35.05" hidden="false" customHeight="false" outlineLevel="0" collapsed="false">
      <c r="A60" s="6" t="s">
        <v>550</v>
      </c>
      <c r="B60" s="6" t="n">
        <v>2</v>
      </c>
      <c r="C60" s="6" t="s">
        <v>145</v>
      </c>
      <c r="D60" s="6" t="s">
        <v>315</v>
      </c>
      <c r="E60" s="6" t="s">
        <v>551</v>
      </c>
      <c r="F60" s="6" t="s">
        <v>552</v>
      </c>
      <c r="G60" s="6" t="s">
        <v>553</v>
      </c>
      <c r="H60" s="6" t="s">
        <v>319</v>
      </c>
      <c r="I60" s="6" t="s">
        <v>554</v>
      </c>
      <c r="J60" s="9" t="n">
        <f aca="false">IF(LEFT(I60,1)="(","",LEN(I60))</f>
        <v>53</v>
      </c>
      <c r="K60" s="6" t="s">
        <v>554</v>
      </c>
      <c r="L60" s="8"/>
      <c r="M60" s="6" t="str">
        <f aca="false">IF(L60="","",LEN(L60))</f>
        <v/>
      </c>
      <c r="N60" s="6" t="s">
        <v>555</v>
      </c>
      <c r="O60" s="6" t="s">
        <v>322</v>
      </c>
      <c r="P60" s="6" t="s">
        <v>323</v>
      </c>
      <c r="Q60" s="8" t="s">
        <v>118</v>
      </c>
      <c r="R60" s="6" t="s">
        <v>119</v>
      </c>
      <c r="S60" s="6" t="s">
        <v>239</v>
      </c>
      <c r="T60" s="10" t="n">
        <f aca="false">SUMIF('Seed Keywords'!$C:$C,E60,'Seed Keywords'!$E:$E)+SUMIF('Seed Keywords'!$C:$C,E60&amp;"#*",'Seed Keywords'!$E:$E)</f>
        <v>0</v>
      </c>
      <c r="U60" s="6"/>
    </row>
    <row r="61" customFormat="false" ht="23.85" hidden="false" customHeight="false" outlineLevel="0" collapsed="false">
      <c r="A61" s="6" t="s">
        <v>556</v>
      </c>
      <c r="B61" s="6" t="n">
        <v>2</v>
      </c>
      <c r="C61" s="6" t="s">
        <v>145</v>
      </c>
      <c r="D61" s="6" t="s">
        <v>315</v>
      </c>
      <c r="E61" s="6" t="s">
        <v>557</v>
      </c>
      <c r="F61" s="6" t="s">
        <v>558</v>
      </c>
      <c r="G61" s="6" t="s">
        <v>559</v>
      </c>
      <c r="H61" s="6" t="s">
        <v>319</v>
      </c>
      <c r="I61" s="6" t="s">
        <v>560</v>
      </c>
      <c r="J61" s="9" t="n">
        <f aca="false">IF(LEFT(I61,1)="(","",LEN(I61))</f>
        <v>47</v>
      </c>
      <c r="K61" s="6" t="s">
        <v>560</v>
      </c>
      <c r="L61" s="8"/>
      <c r="M61" s="6" t="str">
        <f aca="false">IF(L61="","",LEN(L61))</f>
        <v/>
      </c>
      <c r="N61" s="6" t="s">
        <v>321</v>
      </c>
      <c r="O61" s="6" t="s">
        <v>322</v>
      </c>
      <c r="P61" s="6" t="s">
        <v>323</v>
      </c>
      <c r="Q61" s="8" t="s">
        <v>118</v>
      </c>
      <c r="R61" s="6" t="s">
        <v>119</v>
      </c>
      <c r="S61" s="6" t="s">
        <v>239</v>
      </c>
      <c r="T61" s="10" t="n">
        <f aca="false">SUMIF('Seed Keywords'!$C:$C,E61,'Seed Keywords'!$E:$E)+SUMIF('Seed Keywords'!$C:$C,E61&amp;"#*",'Seed Keywords'!$E:$E)</f>
        <v>0</v>
      </c>
      <c r="U61" s="6"/>
    </row>
    <row r="62" customFormat="false" ht="23.85" hidden="false" customHeight="false" outlineLevel="0" collapsed="false">
      <c r="A62" s="6" t="s">
        <v>561</v>
      </c>
      <c r="B62" s="6" t="n">
        <v>2</v>
      </c>
      <c r="C62" s="6" t="s">
        <v>145</v>
      </c>
      <c r="D62" s="6" t="s">
        <v>315</v>
      </c>
      <c r="E62" s="6" t="s">
        <v>562</v>
      </c>
      <c r="F62" s="6" t="s">
        <v>563</v>
      </c>
      <c r="G62" s="6" t="s">
        <v>564</v>
      </c>
      <c r="H62" s="6" t="s">
        <v>319</v>
      </c>
      <c r="I62" s="6" t="s">
        <v>565</v>
      </c>
      <c r="J62" s="9" t="n">
        <f aca="false">IF(LEFT(I62,1)="(","",LEN(I62))</f>
        <v>35</v>
      </c>
      <c r="K62" s="6" t="s">
        <v>565</v>
      </c>
      <c r="L62" s="8"/>
      <c r="M62" s="6" t="str">
        <f aca="false">IF(L62="","",LEN(L62))</f>
        <v/>
      </c>
      <c r="N62" s="6" t="s">
        <v>321</v>
      </c>
      <c r="O62" s="6" t="s">
        <v>322</v>
      </c>
      <c r="P62" s="6" t="s">
        <v>323</v>
      </c>
      <c r="Q62" s="8" t="s">
        <v>118</v>
      </c>
      <c r="R62" s="6" t="s">
        <v>119</v>
      </c>
      <c r="S62" s="6" t="s">
        <v>182</v>
      </c>
      <c r="T62" s="10" t="n">
        <f aca="false">SUMIF('Seed Keywords'!$C:$C,E62,'Seed Keywords'!$E:$E)+SUMIF('Seed Keywords'!$C:$C,E62&amp;"#*",'Seed Keywords'!$E:$E)</f>
        <v>0</v>
      </c>
      <c r="U62" s="6"/>
    </row>
    <row r="63" customFormat="false" ht="23.85" hidden="false" customHeight="false" outlineLevel="0" collapsed="false">
      <c r="A63" s="6" t="s">
        <v>566</v>
      </c>
      <c r="B63" s="6" t="n">
        <v>2</v>
      </c>
      <c r="C63" s="6" t="s">
        <v>145</v>
      </c>
      <c r="D63" s="6" t="s">
        <v>567</v>
      </c>
      <c r="E63" s="6" t="s">
        <v>568</v>
      </c>
      <c r="F63" s="6" t="s">
        <v>569</v>
      </c>
      <c r="G63" s="6" t="s">
        <v>570</v>
      </c>
      <c r="H63" s="6" t="s">
        <v>185</v>
      </c>
      <c r="I63" s="6" t="s">
        <v>571</v>
      </c>
      <c r="J63" s="9" t="n">
        <f aca="false">IF(LEFT(I63,1)="(","",LEN(I63))</f>
        <v>53</v>
      </c>
      <c r="K63" s="6" t="s">
        <v>572</v>
      </c>
      <c r="L63" s="8"/>
      <c r="M63" s="6" t="str">
        <f aca="false">IF(L63="","",LEN(L63))</f>
        <v/>
      </c>
      <c r="N63" s="6" t="s">
        <v>573</v>
      </c>
      <c r="O63" s="6" t="s">
        <v>574</v>
      </c>
      <c r="P63" s="6" t="s">
        <v>575</v>
      </c>
      <c r="Q63" s="8" t="s">
        <v>132</v>
      </c>
      <c r="R63" s="6" t="s">
        <v>119</v>
      </c>
      <c r="S63" s="6" t="s">
        <v>576</v>
      </c>
      <c r="T63" s="10" t="n">
        <f aca="false">SUMIF('Seed Keywords'!$C:$C,E63,'Seed Keywords'!$E:$E)+SUMIF('Seed Keywords'!$C:$C,E63&amp;"#*",'Seed Keywords'!$E:$E)</f>
        <v>0</v>
      </c>
      <c r="U63" s="6" t="s">
        <v>577</v>
      </c>
    </row>
    <row r="64" customFormat="false" ht="46.25" hidden="false" customHeight="false" outlineLevel="0" collapsed="false">
      <c r="A64" s="6" t="s">
        <v>578</v>
      </c>
      <c r="B64" s="6" t="n">
        <v>3</v>
      </c>
      <c r="C64" s="6" t="s">
        <v>145</v>
      </c>
      <c r="D64" s="6" t="s">
        <v>181</v>
      </c>
      <c r="E64" s="6" t="s">
        <v>579</v>
      </c>
      <c r="F64" s="6" t="s">
        <v>580</v>
      </c>
      <c r="G64" s="6" t="s">
        <v>581</v>
      </c>
      <c r="H64" s="6" t="s">
        <v>185</v>
      </c>
      <c r="I64" s="6" t="s">
        <v>582</v>
      </c>
      <c r="J64" s="9" t="n">
        <f aca="false">IF(LEFT(I64,1)="(","",LEN(I64))</f>
        <v>52</v>
      </c>
      <c r="K64" s="6" t="s">
        <v>583</v>
      </c>
      <c r="L64" s="8"/>
      <c r="M64" s="6" t="str">
        <f aca="false">IF(L64="","",LEN(L64))</f>
        <v/>
      </c>
      <c r="N64" s="6" t="s">
        <v>188</v>
      </c>
      <c r="O64" s="6" t="s">
        <v>189</v>
      </c>
      <c r="P64" s="6" t="s">
        <v>584</v>
      </c>
      <c r="Q64" s="8" t="s">
        <v>118</v>
      </c>
      <c r="R64" s="6" t="s">
        <v>119</v>
      </c>
      <c r="S64" s="6" t="s">
        <v>200</v>
      </c>
      <c r="T64" s="10" t="n">
        <f aca="false">SUMIF('Seed Keywords'!$C:$C,E64,'Seed Keywords'!$E:$E)+SUMIF('Seed Keywords'!$C:$C,E64&amp;"#*",'Seed Keywords'!$E:$E)</f>
        <v>0</v>
      </c>
      <c r="U64" s="6" t="s">
        <v>404</v>
      </c>
    </row>
    <row r="65" customFormat="false" ht="46.25" hidden="false" customHeight="false" outlineLevel="0" collapsed="false">
      <c r="A65" s="6" t="s">
        <v>585</v>
      </c>
      <c r="B65" s="6" t="n">
        <v>3</v>
      </c>
      <c r="C65" s="6" t="s">
        <v>406</v>
      </c>
      <c r="D65" s="6" t="s">
        <v>181</v>
      </c>
      <c r="E65" s="6" t="s">
        <v>586</v>
      </c>
      <c r="F65" s="6" t="s">
        <v>587</v>
      </c>
      <c r="G65" s="6" t="s">
        <v>588</v>
      </c>
      <c r="H65" s="6" t="s">
        <v>185</v>
      </c>
      <c r="I65" s="6" t="s">
        <v>589</v>
      </c>
      <c r="J65" s="9" t="n">
        <f aca="false">IF(LEFT(I65,1)="(","",LEN(I65))</f>
        <v>54</v>
      </c>
      <c r="K65" s="6" t="s">
        <v>590</v>
      </c>
      <c r="L65" s="8"/>
      <c r="M65" s="6" t="str">
        <f aca="false">IF(L65="","",LEN(L65))</f>
        <v/>
      </c>
      <c r="N65" s="6" t="s">
        <v>188</v>
      </c>
      <c r="O65" s="6" t="s">
        <v>189</v>
      </c>
      <c r="P65" s="6" t="s">
        <v>591</v>
      </c>
      <c r="Q65" s="8" t="s">
        <v>416</v>
      </c>
      <c r="R65" s="6" t="s">
        <v>119</v>
      </c>
      <c r="S65" s="6" t="s">
        <v>200</v>
      </c>
      <c r="T65" s="10" t="n">
        <f aca="false">SUMIF('Seed Keywords'!$C:$C,E65,'Seed Keywords'!$E:$E)+SUMIF('Seed Keywords'!$C:$C,E65&amp;"#*",'Seed Keywords'!$E:$E)</f>
        <v>0</v>
      </c>
      <c r="U65" s="6" t="s">
        <v>592</v>
      </c>
    </row>
    <row r="66" customFormat="false" ht="35.05" hidden="false" customHeight="false" outlineLevel="0" collapsed="false">
      <c r="A66" s="6" t="s">
        <v>593</v>
      </c>
      <c r="B66" s="6" t="n">
        <v>3</v>
      </c>
      <c r="C66" s="6" t="s">
        <v>249</v>
      </c>
      <c r="D66" s="6" t="s">
        <v>249</v>
      </c>
      <c r="E66" s="6" t="s">
        <v>594</v>
      </c>
      <c r="F66" s="6" t="s">
        <v>595</v>
      </c>
      <c r="G66" s="6" t="s">
        <v>596</v>
      </c>
      <c r="H66" s="6" t="s">
        <v>185</v>
      </c>
      <c r="I66" s="6" t="s">
        <v>253</v>
      </c>
      <c r="J66" s="9" t="str">
        <f aca="false">IF(LEFT(I66,1)="(","",LEN(I66))</f>
        <v/>
      </c>
      <c r="K66" s="6" t="s">
        <v>597</v>
      </c>
      <c r="L66" s="8"/>
      <c r="M66" s="6" t="str">
        <f aca="false">IF(L66="","",LEN(L66))</f>
        <v/>
      </c>
      <c r="N66" s="6" t="s">
        <v>255</v>
      </c>
      <c r="O66" s="6" t="s">
        <v>256</v>
      </c>
      <c r="P66" s="6" t="s">
        <v>598</v>
      </c>
      <c r="Q66" s="8" t="s">
        <v>118</v>
      </c>
      <c r="R66" s="6" t="s">
        <v>119</v>
      </c>
      <c r="S66" s="6" t="s">
        <v>439</v>
      </c>
      <c r="T66" s="10" t="n">
        <f aca="false">SUMIF('Seed Keywords'!$C:$C,E66,'Seed Keywords'!$E:$E)+SUMIF('Seed Keywords'!$C:$C,E66&amp;"#*",'Seed Keywords'!$E:$E)</f>
        <v>0</v>
      </c>
      <c r="U66" s="6" t="s">
        <v>599</v>
      </c>
    </row>
    <row r="67" customFormat="false" ht="35.05" hidden="false" customHeight="false" outlineLevel="0" collapsed="false">
      <c r="A67" s="6" t="s">
        <v>600</v>
      </c>
      <c r="B67" s="6" t="n">
        <v>3</v>
      </c>
      <c r="C67" s="6" t="s">
        <v>249</v>
      </c>
      <c r="D67" s="6" t="s">
        <v>249</v>
      </c>
      <c r="E67" s="6" t="s">
        <v>601</v>
      </c>
      <c r="F67" s="6" t="s">
        <v>602</v>
      </c>
      <c r="G67" s="6" t="s">
        <v>603</v>
      </c>
      <c r="H67" s="6" t="s">
        <v>185</v>
      </c>
      <c r="I67" s="6" t="s">
        <v>253</v>
      </c>
      <c r="J67" s="9" t="str">
        <f aca="false">IF(LEFT(I67,1)="(","",LEN(I67))</f>
        <v/>
      </c>
      <c r="K67" s="6" t="s">
        <v>604</v>
      </c>
      <c r="L67" s="8"/>
      <c r="M67" s="6" t="str">
        <f aca="false">IF(L67="","",LEN(L67))</f>
        <v/>
      </c>
      <c r="N67" s="6" t="s">
        <v>255</v>
      </c>
      <c r="O67" s="6" t="s">
        <v>256</v>
      </c>
      <c r="P67" s="6" t="s">
        <v>605</v>
      </c>
      <c r="Q67" s="8" t="s">
        <v>118</v>
      </c>
      <c r="R67" s="6" t="s">
        <v>119</v>
      </c>
      <c r="S67" s="6" t="s">
        <v>439</v>
      </c>
      <c r="T67" s="10" t="n">
        <f aca="false">SUMIF('Seed Keywords'!$C:$C,E67,'Seed Keywords'!$E:$E)+SUMIF('Seed Keywords'!$C:$C,E67&amp;"#*",'Seed Keywords'!$E:$E)</f>
        <v>0</v>
      </c>
      <c r="U67" s="6" t="s">
        <v>599</v>
      </c>
    </row>
    <row r="68" customFormat="false" ht="35.05" hidden="false" customHeight="false" outlineLevel="0" collapsed="false">
      <c r="A68" s="6" t="s">
        <v>606</v>
      </c>
      <c r="B68" s="6" t="n">
        <v>3</v>
      </c>
      <c r="C68" s="6" t="s">
        <v>249</v>
      </c>
      <c r="D68" s="6" t="s">
        <v>249</v>
      </c>
      <c r="E68" s="6" t="s">
        <v>607</v>
      </c>
      <c r="F68" s="6" t="s">
        <v>608</v>
      </c>
      <c r="G68" s="6" t="s">
        <v>609</v>
      </c>
      <c r="H68" s="6" t="s">
        <v>185</v>
      </c>
      <c r="I68" s="6" t="s">
        <v>253</v>
      </c>
      <c r="J68" s="9" t="str">
        <f aca="false">IF(LEFT(I68,1)="(","",LEN(I68))</f>
        <v/>
      </c>
      <c r="K68" s="6" t="s">
        <v>610</v>
      </c>
      <c r="L68" s="8"/>
      <c r="M68" s="6" t="str">
        <f aca="false">IF(L68="","",LEN(L68))</f>
        <v/>
      </c>
      <c r="N68" s="6" t="s">
        <v>255</v>
      </c>
      <c r="O68" s="6" t="s">
        <v>256</v>
      </c>
      <c r="P68" s="6" t="s">
        <v>611</v>
      </c>
      <c r="Q68" s="8" t="s">
        <v>118</v>
      </c>
      <c r="R68" s="6" t="s">
        <v>119</v>
      </c>
      <c r="S68" s="6" t="s">
        <v>439</v>
      </c>
      <c r="T68" s="10" t="n">
        <f aca="false">SUMIF('Seed Keywords'!$C:$C,E68,'Seed Keywords'!$E:$E)+SUMIF('Seed Keywords'!$C:$C,E68&amp;"#*",'Seed Keywords'!$E:$E)</f>
        <v>0</v>
      </c>
      <c r="U68" s="6" t="s">
        <v>599</v>
      </c>
    </row>
    <row r="69" customFormat="false" ht="35.05" hidden="false" customHeight="false" outlineLevel="0" collapsed="false">
      <c r="A69" s="6" t="s">
        <v>612</v>
      </c>
      <c r="B69" s="6" t="n">
        <v>3</v>
      </c>
      <c r="C69" s="6" t="s">
        <v>249</v>
      </c>
      <c r="D69" s="6" t="s">
        <v>249</v>
      </c>
      <c r="E69" s="6" t="s">
        <v>613</v>
      </c>
      <c r="F69" s="6" t="s">
        <v>614</v>
      </c>
      <c r="G69" s="6" t="s">
        <v>615</v>
      </c>
      <c r="H69" s="6" t="s">
        <v>185</v>
      </c>
      <c r="I69" s="6" t="s">
        <v>253</v>
      </c>
      <c r="J69" s="9" t="str">
        <f aca="false">IF(LEFT(I69,1)="(","",LEN(I69))</f>
        <v/>
      </c>
      <c r="K69" s="6" t="s">
        <v>616</v>
      </c>
      <c r="L69" s="8"/>
      <c r="M69" s="6" t="str">
        <f aca="false">IF(L69="","",LEN(L69))</f>
        <v/>
      </c>
      <c r="N69" s="6" t="s">
        <v>255</v>
      </c>
      <c r="O69" s="6" t="s">
        <v>256</v>
      </c>
      <c r="P69" s="6" t="s">
        <v>617</v>
      </c>
      <c r="Q69" s="8" t="s">
        <v>118</v>
      </c>
      <c r="R69" s="6" t="s">
        <v>119</v>
      </c>
      <c r="S69" s="6" t="s">
        <v>439</v>
      </c>
      <c r="T69" s="10" t="n">
        <f aca="false">SUMIF('Seed Keywords'!$C:$C,E69,'Seed Keywords'!$E:$E)+SUMIF('Seed Keywords'!$C:$C,E69&amp;"#*",'Seed Keywords'!$E:$E)</f>
        <v>0</v>
      </c>
      <c r="U69" s="6" t="s">
        <v>599</v>
      </c>
    </row>
    <row r="70" customFormat="false" ht="35.05" hidden="false" customHeight="false" outlineLevel="0" collapsed="false">
      <c r="A70" s="6" t="s">
        <v>618</v>
      </c>
      <c r="B70" s="6" t="n">
        <v>3</v>
      </c>
      <c r="C70" s="6" t="s">
        <v>249</v>
      </c>
      <c r="D70" s="6" t="s">
        <v>249</v>
      </c>
      <c r="E70" s="6" t="s">
        <v>619</v>
      </c>
      <c r="F70" s="6" t="s">
        <v>620</v>
      </c>
      <c r="G70" s="6" t="s">
        <v>621</v>
      </c>
      <c r="H70" s="6" t="s">
        <v>185</v>
      </c>
      <c r="I70" s="6" t="s">
        <v>253</v>
      </c>
      <c r="J70" s="9" t="str">
        <f aca="false">IF(LEFT(I70,1)="(","",LEN(I70))</f>
        <v/>
      </c>
      <c r="K70" s="6" t="s">
        <v>622</v>
      </c>
      <c r="L70" s="8"/>
      <c r="M70" s="6" t="str">
        <f aca="false">IF(L70="","",LEN(L70))</f>
        <v/>
      </c>
      <c r="N70" s="6" t="s">
        <v>255</v>
      </c>
      <c r="O70" s="6" t="s">
        <v>256</v>
      </c>
      <c r="P70" s="6" t="s">
        <v>611</v>
      </c>
      <c r="Q70" s="8" t="s">
        <v>118</v>
      </c>
      <c r="R70" s="6" t="s">
        <v>119</v>
      </c>
      <c r="S70" s="6" t="s">
        <v>623</v>
      </c>
      <c r="T70" s="10" t="n">
        <f aca="false">SUMIF('Seed Keywords'!$C:$C,E70,'Seed Keywords'!$E:$E)+SUMIF('Seed Keywords'!$C:$C,E70&amp;"#*",'Seed Keywords'!$E:$E)</f>
        <v>0</v>
      </c>
      <c r="U70" s="6" t="s">
        <v>624</v>
      </c>
    </row>
    <row r="71" customFormat="false" ht="35.05" hidden="false" customHeight="false" outlineLevel="0" collapsed="false">
      <c r="A71" s="6" t="s">
        <v>625</v>
      </c>
      <c r="B71" s="6" t="n">
        <v>3</v>
      </c>
      <c r="C71" s="6" t="s">
        <v>249</v>
      </c>
      <c r="D71" s="6" t="s">
        <v>249</v>
      </c>
      <c r="E71" s="6" t="s">
        <v>626</v>
      </c>
      <c r="F71" s="6" t="s">
        <v>627</v>
      </c>
      <c r="G71" s="6" t="s">
        <v>628</v>
      </c>
      <c r="H71" s="6" t="s">
        <v>185</v>
      </c>
      <c r="I71" s="6" t="s">
        <v>253</v>
      </c>
      <c r="J71" s="9" t="str">
        <f aca="false">IF(LEFT(I71,1)="(","",LEN(I71))</f>
        <v/>
      </c>
      <c r="K71" s="6" t="s">
        <v>629</v>
      </c>
      <c r="L71" s="8"/>
      <c r="M71" s="6" t="str">
        <f aca="false">IF(L71="","",LEN(L71))</f>
        <v/>
      </c>
      <c r="N71" s="6" t="s">
        <v>255</v>
      </c>
      <c r="O71" s="6" t="s">
        <v>256</v>
      </c>
      <c r="P71" s="6" t="s">
        <v>611</v>
      </c>
      <c r="Q71" s="8" t="s">
        <v>118</v>
      </c>
      <c r="R71" s="6" t="s">
        <v>119</v>
      </c>
      <c r="S71" s="6" t="s">
        <v>485</v>
      </c>
      <c r="T71" s="10" t="n">
        <f aca="false">SUMIF('Seed Keywords'!$C:$C,E71,'Seed Keywords'!$E:$E)+SUMIF('Seed Keywords'!$C:$C,E71&amp;"#*",'Seed Keywords'!$E:$E)</f>
        <v>0</v>
      </c>
      <c r="U71" s="6" t="s">
        <v>630</v>
      </c>
    </row>
    <row r="72" customFormat="false" ht="35.05" hidden="false" customHeight="false" outlineLevel="0" collapsed="false">
      <c r="A72" s="6" t="s">
        <v>631</v>
      </c>
      <c r="B72" s="6" t="n">
        <v>3</v>
      </c>
      <c r="C72" s="6" t="s">
        <v>249</v>
      </c>
      <c r="D72" s="6" t="s">
        <v>249</v>
      </c>
      <c r="E72" s="6" t="s">
        <v>632</v>
      </c>
      <c r="F72" s="6" t="s">
        <v>633</v>
      </c>
      <c r="G72" s="6" t="s">
        <v>634</v>
      </c>
      <c r="H72" s="6" t="s">
        <v>185</v>
      </c>
      <c r="I72" s="6" t="s">
        <v>253</v>
      </c>
      <c r="J72" s="9" t="str">
        <f aca="false">IF(LEFT(I72,1)="(","",LEN(I72))</f>
        <v/>
      </c>
      <c r="K72" s="6" t="s">
        <v>635</v>
      </c>
      <c r="L72" s="8"/>
      <c r="M72" s="6" t="str">
        <f aca="false">IF(L72="","",LEN(L72))</f>
        <v/>
      </c>
      <c r="N72" s="6" t="s">
        <v>255</v>
      </c>
      <c r="O72" s="6" t="s">
        <v>256</v>
      </c>
      <c r="P72" s="6" t="s">
        <v>611</v>
      </c>
      <c r="Q72" s="8" t="s">
        <v>118</v>
      </c>
      <c r="R72" s="6" t="s">
        <v>119</v>
      </c>
      <c r="S72" s="6" t="s">
        <v>485</v>
      </c>
      <c r="T72" s="10" t="n">
        <f aca="false">SUMIF('Seed Keywords'!$C:$C,E72,'Seed Keywords'!$E:$E)+SUMIF('Seed Keywords'!$C:$C,E72&amp;"#*",'Seed Keywords'!$E:$E)</f>
        <v>0</v>
      </c>
      <c r="U72" s="6" t="s">
        <v>630</v>
      </c>
    </row>
    <row r="73" customFormat="false" ht="46.25" hidden="false" customHeight="false" outlineLevel="0" collapsed="false">
      <c r="A73" s="6" t="s">
        <v>636</v>
      </c>
      <c r="B73" s="6" t="n">
        <v>3</v>
      </c>
      <c r="C73" s="6" t="s">
        <v>406</v>
      </c>
      <c r="D73" s="6" t="s">
        <v>261</v>
      </c>
      <c r="E73" s="6" t="s">
        <v>637</v>
      </c>
      <c r="F73" s="6" t="s">
        <v>638</v>
      </c>
      <c r="G73" s="6" t="s">
        <v>639</v>
      </c>
      <c r="H73" s="6" t="s">
        <v>185</v>
      </c>
      <c r="I73" s="6" t="s">
        <v>640</v>
      </c>
      <c r="J73" s="9" t="n">
        <f aca="false">IF(LEFT(I73,1)="(","",LEN(I73))</f>
        <v>47</v>
      </c>
      <c r="K73" s="6" t="s">
        <v>641</v>
      </c>
      <c r="L73" s="8"/>
      <c r="M73" s="6" t="str">
        <f aca="false">IF(L73="","",LEN(L73))</f>
        <v/>
      </c>
      <c r="N73" s="6" t="s">
        <v>267</v>
      </c>
      <c r="O73" s="6" t="s">
        <v>268</v>
      </c>
      <c r="P73" s="6" t="s">
        <v>269</v>
      </c>
      <c r="Q73" s="8" t="s">
        <v>416</v>
      </c>
      <c r="R73" s="6" t="s">
        <v>119</v>
      </c>
      <c r="S73" s="6" t="s">
        <v>270</v>
      </c>
      <c r="T73" s="10" t="n">
        <f aca="false">SUMIF('Seed Keywords'!$C:$C,E73,'Seed Keywords'!$E:$E)+SUMIF('Seed Keywords'!$C:$C,E73&amp;"#*",'Seed Keywords'!$E:$E)</f>
        <v>0</v>
      </c>
      <c r="U73" s="6" t="s">
        <v>642</v>
      </c>
    </row>
    <row r="74" customFormat="false" ht="46.25" hidden="false" customHeight="false" outlineLevel="0" collapsed="false">
      <c r="A74" s="6" t="s">
        <v>643</v>
      </c>
      <c r="B74" s="6" t="n">
        <v>3</v>
      </c>
      <c r="C74" s="6" t="s">
        <v>406</v>
      </c>
      <c r="D74" s="6" t="s">
        <v>261</v>
      </c>
      <c r="E74" s="6" t="s">
        <v>644</v>
      </c>
      <c r="F74" s="6" t="s">
        <v>645</v>
      </c>
      <c r="G74" s="6" t="s">
        <v>646</v>
      </c>
      <c r="H74" s="6" t="s">
        <v>185</v>
      </c>
      <c r="I74" s="6" t="s">
        <v>647</v>
      </c>
      <c r="J74" s="9" t="n">
        <f aca="false">IF(LEFT(I74,1)="(","",LEN(I74))</f>
        <v>54</v>
      </c>
      <c r="K74" s="6" t="s">
        <v>648</v>
      </c>
      <c r="L74" s="8"/>
      <c r="M74" s="6" t="str">
        <f aca="false">IF(L74="","",LEN(L74))</f>
        <v/>
      </c>
      <c r="N74" s="6" t="s">
        <v>267</v>
      </c>
      <c r="O74" s="6" t="s">
        <v>268</v>
      </c>
      <c r="P74" s="6" t="s">
        <v>269</v>
      </c>
      <c r="Q74" s="8" t="s">
        <v>416</v>
      </c>
      <c r="R74" s="6" t="s">
        <v>119</v>
      </c>
      <c r="S74" s="6" t="s">
        <v>270</v>
      </c>
      <c r="T74" s="10" t="n">
        <f aca="false">SUMIF('Seed Keywords'!$C:$C,E74,'Seed Keywords'!$E:$E)+SUMIF('Seed Keywords'!$C:$C,E74&amp;"#*",'Seed Keywords'!$E:$E)</f>
        <v>0</v>
      </c>
      <c r="U74" s="6" t="s">
        <v>649</v>
      </c>
    </row>
    <row r="75" customFormat="false" ht="46.25" hidden="false" customHeight="false" outlineLevel="0" collapsed="false">
      <c r="A75" s="6" t="s">
        <v>650</v>
      </c>
      <c r="B75" s="6" t="n">
        <v>3</v>
      </c>
      <c r="C75" s="6" t="s">
        <v>406</v>
      </c>
      <c r="D75" s="6" t="s">
        <v>261</v>
      </c>
      <c r="E75" s="6" t="s">
        <v>651</v>
      </c>
      <c r="F75" s="6" t="s">
        <v>652</v>
      </c>
      <c r="G75" s="6" t="s">
        <v>653</v>
      </c>
      <c r="H75" s="6" t="s">
        <v>185</v>
      </c>
      <c r="I75" s="6" t="s">
        <v>654</v>
      </c>
      <c r="J75" s="9" t="n">
        <f aca="false">IF(LEFT(I75,1)="(","",LEN(I75))</f>
        <v>52</v>
      </c>
      <c r="K75" s="6" t="s">
        <v>655</v>
      </c>
      <c r="L75" s="8"/>
      <c r="M75" s="6" t="str">
        <f aca="false">IF(L75="","",LEN(L75))</f>
        <v/>
      </c>
      <c r="N75" s="6" t="s">
        <v>267</v>
      </c>
      <c r="O75" s="6" t="s">
        <v>268</v>
      </c>
      <c r="P75" s="6" t="s">
        <v>269</v>
      </c>
      <c r="Q75" s="8" t="s">
        <v>416</v>
      </c>
      <c r="R75" s="6" t="s">
        <v>119</v>
      </c>
      <c r="S75" s="6" t="s">
        <v>270</v>
      </c>
      <c r="T75" s="10" t="n">
        <f aca="false">SUMIF('Seed Keywords'!$C:$C,E75,'Seed Keywords'!$E:$E)+SUMIF('Seed Keywords'!$C:$C,E75&amp;"#*",'Seed Keywords'!$E:$E)</f>
        <v>0</v>
      </c>
      <c r="U75" s="6" t="s">
        <v>656</v>
      </c>
    </row>
    <row r="76" customFormat="false" ht="46.25" hidden="false" customHeight="false" outlineLevel="0" collapsed="false">
      <c r="A76" s="6" t="s">
        <v>657</v>
      </c>
      <c r="B76" s="6" t="n">
        <v>3</v>
      </c>
      <c r="C76" s="6" t="s">
        <v>406</v>
      </c>
      <c r="D76" s="6" t="s">
        <v>261</v>
      </c>
      <c r="E76" s="6" t="s">
        <v>658</v>
      </c>
      <c r="F76" s="6" t="s">
        <v>659</v>
      </c>
      <c r="G76" s="6" t="s">
        <v>660</v>
      </c>
      <c r="H76" s="6" t="s">
        <v>185</v>
      </c>
      <c r="I76" s="6" t="s">
        <v>661</v>
      </c>
      <c r="J76" s="9" t="n">
        <f aca="false">IF(LEFT(I76,1)="(","",LEN(I76))</f>
        <v>47</v>
      </c>
      <c r="K76" s="6" t="s">
        <v>662</v>
      </c>
      <c r="L76" s="8"/>
      <c r="M76" s="6" t="str">
        <f aca="false">IF(L76="","",LEN(L76))</f>
        <v/>
      </c>
      <c r="N76" s="6" t="s">
        <v>267</v>
      </c>
      <c r="O76" s="6" t="s">
        <v>268</v>
      </c>
      <c r="P76" s="6" t="s">
        <v>269</v>
      </c>
      <c r="Q76" s="8" t="s">
        <v>416</v>
      </c>
      <c r="R76" s="6" t="s">
        <v>119</v>
      </c>
      <c r="S76" s="6" t="s">
        <v>270</v>
      </c>
      <c r="T76" s="10" t="n">
        <f aca="false">SUMIF('Seed Keywords'!$C:$C,E76,'Seed Keywords'!$E:$E)+SUMIF('Seed Keywords'!$C:$C,E76&amp;"#*",'Seed Keywords'!$E:$E)</f>
        <v>0</v>
      </c>
      <c r="U76" s="6" t="s">
        <v>663</v>
      </c>
    </row>
    <row r="77" customFormat="false" ht="46.25" hidden="false" customHeight="false" outlineLevel="0" collapsed="false">
      <c r="A77" s="6" t="s">
        <v>664</v>
      </c>
      <c r="B77" s="6" t="n">
        <v>3</v>
      </c>
      <c r="C77" s="6" t="s">
        <v>406</v>
      </c>
      <c r="D77" s="6" t="s">
        <v>261</v>
      </c>
      <c r="E77" s="6" t="s">
        <v>665</v>
      </c>
      <c r="F77" s="6" t="s">
        <v>666</v>
      </c>
      <c r="G77" s="6" t="s">
        <v>667</v>
      </c>
      <c r="H77" s="6" t="s">
        <v>185</v>
      </c>
      <c r="I77" s="6" t="s">
        <v>668</v>
      </c>
      <c r="J77" s="9" t="n">
        <f aca="false">IF(LEFT(I77,1)="(","",LEN(I77))</f>
        <v>52</v>
      </c>
      <c r="K77" s="6" t="s">
        <v>669</v>
      </c>
      <c r="L77" s="8"/>
      <c r="M77" s="6" t="str">
        <f aca="false">IF(L77="","",LEN(L77))</f>
        <v/>
      </c>
      <c r="N77" s="6" t="s">
        <v>267</v>
      </c>
      <c r="O77" s="6" t="s">
        <v>268</v>
      </c>
      <c r="P77" s="6" t="s">
        <v>269</v>
      </c>
      <c r="Q77" s="8" t="s">
        <v>416</v>
      </c>
      <c r="R77" s="6" t="s">
        <v>119</v>
      </c>
      <c r="S77" s="6" t="s">
        <v>270</v>
      </c>
      <c r="T77" s="10" t="n">
        <f aca="false">SUMIF('Seed Keywords'!$C:$C,E77,'Seed Keywords'!$E:$E)+SUMIF('Seed Keywords'!$C:$C,E77&amp;"#*",'Seed Keywords'!$E:$E)</f>
        <v>0</v>
      </c>
      <c r="U77" s="6" t="s">
        <v>656</v>
      </c>
    </row>
    <row r="78" customFormat="false" ht="46.25" hidden="false" customHeight="false" outlineLevel="0" collapsed="false">
      <c r="A78" s="6" t="s">
        <v>670</v>
      </c>
      <c r="B78" s="6" t="n">
        <v>3</v>
      </c>
      <c r="C78" s="6" t="s">
        <v>406</v>
      </c>
      <c r="D78" s="6" t="s">
        <v>261</v>
      </c>
      <c r="E78" s="6" t="s">
        <v>671</v>
      </c>
      <c r="F78" s="6" t="s">
        <v>672</v>
      </c>
      <c r="G78" s="6" t="s">
        <v>673</v>
      </c>
      <c r="H78" s="6" t="s">
        <v>185</v>
      </c>
      <c r="I78" s="6" t="s">
        <v>674</v>
      </c>
      <c r="J78" s="9" t="n">
        <f aca="false">IF(LEFT(I78,1)="(","",LEN(I78))</f>
        <v>49</v>
      </c>
      <c r="K78" s="6" t="s">
        <v>675</v>
      </c>
      <c r="L78" s="8"/>
      <c r="M78" s="6" t="str">
        <f aca="false">IF(L78="","",LEN(L78))</f>
        <v/>
      </c>
      <c r="N78" s="6" t="s">
        <v>267</v>
      </c>
      <c r="O78" s="6" t="s">
        <v>268</v>
      </c>
      <c r="P78" s="6" t="s">
        <v>269</v>
      </c>
      <c r="Q78" s="8" t="s">
        <v>416</v>
      </c>
      <c r="R78" s="6" t="s">
        <v>119</v>
      </c>
      <c r="S78" s="6" t="s">
        <v>270</v>
      </c>
      <c r="T78" s="10" t="n">
        <f aca="false">SUMIF('Seed Keywords'!$C:$C,E78,'Seed Keywords'!$E:$E)+SUMIF('Seed Keywords'!$C:$C,E78&amp;"#*",'Seed Keywords'!$E:$E)</f>
        <v>0</v>
      </c>
      <c r="U78" s="6" t="s">
        <v>656</v>
      </c>
    </row>
    <row r="79" customFormat="false" ht="46.25" hidden="false" customHeight="false" outlineLevel="0" collapsed="false">
      <c r="A79" s="6" t="s">
        <v>676</v>
      </c>
      <c r="B79" s="6" t="n">
        <v>3</v>
      </c>
      <c r="C79" s="6" t="s">
        <v>406</v>
      </c>
      <c r="D79" s="6" t="s">
        <v>261</v>
      </c>
      <c r="E79" s="6" t="s">
        <v>677</v>
      </c>
      <c r="F79" s="6" t="s">
        <v>678</v>
      </c>
      <c r="G79" s="6" t="s">
        <v>679</v>
      </c>
      <c r="H79" s="6" t="s">
        <v>185</v>
      </c>
      <c r="I79" s="6" t="s">
        <v>680</v>
      </c>
      <c r="J79" s="9" t="n">
        <f aca="false">IF(LEFT(I79,1)="(","",LEN(I79))</f>
        <v>52</v>
      </c>
      <c r="K79" s="6" t="s">
        <v>681</v>
      </c>
      <c r="L79" s="8"/>
      <c r="M79" s="6" t="str">
        <f aca="false">IF(L79="","",LEN(L79))</f>
        <v/>
      </c>
      <c r="N79" s="6" t="s">
        <v>267</v>
      </c>
      <c r="O79" s="6" t="s">
        <v>268</v>
      </c>
      <c r="P79" s="6" t="s">
        <v>269</v>
      </c>
      <c r="Q79" s="8" t="s">
        <v>416</v>
      </c>
      <c r="R79" s="6" t="s">
        <v>119</v>
      </c>
      <c r="S79" s="6" t="s">
        <v>270</v>
      </c>
      <c r="T79" s="10" t="n">
        <f aca="false">SUMIF('Seed Keywords'!$C:$C,E79,'Seed Keywords'!$E:$E)+SUMIF('Seed Keywords'!$C:$C,E79&amp;"#*",'Seed Keywords'!$E:$E)</f>
        <v>0</v>
      </c>
      <c r="U79" s="6" t="s">
        <v>656</v>
      </c>
    </row>
    <row r="80" customFormat="false" ht="35.05" hidden="false" customHeight="false" outlineLevel="0" collapsed="false">
      <c r="A80" s="6" t="s">
        <v>682</v>
      </c>
      <c r="B80" s="6" t="n">
        <v>3</v>
      </c>
      <c r="C80" s="6" t="s">
        <v>406</v>
      </c>
      <c r="D80" s="6" t="s">
        <v>280</v>
      </c>
      <c r="E80" s="6" t="s">
        <v>683</v>
      </c>
      <c r="F80" s="6" t="s">
        <v>684</v>
      </c>
      <c r="G80" s="6"/>
      <c r="H80" s="6" t="s">
        <v>283</v>
      </c>
      <c r="I80" s="6" t="s">
        <v>685</v>
      </c>
      <c r="J80" s="9" t="n">
        <f aca="false">IF(LEFT(I80,1)="(","",LEN(I80))</f>
        <v>24</v>
      </c>
      <c r="K80" s="6" t="s">
        <v>686</v>
      </c>
      <c r="L80" s="8"/>
      <c r="M80" s="6" t="str">
        <f aca="false">IF(L80="","",LEN(L80))</f>
        <v/>
      </c>
      <c r="N80" s="6" t="s">
        <v>286</v>
      </c>
      <c r="O80" s="6" t="s">
        <v>287</v>
      </c>
      <c r="P80" s="6" t="s">
        <v>288</v>
      </c>
      <c r="Q80" s="8" t="s">
        <v>416</v>
      </c>
      <c r="R80" s="6" t="s">
        <v>119</v>
      </c>
      <c r="S80" s="6" t="s">
        <v>534</v>
      </c>
      <c r="T80" s="10" t="n">
        <f aca="false">SUMIF('Seed Keywords'!$C:$C,E80,'Seed Keywords'!$E:$E)+SUMIF('Seed Keywords'!$C:$C,E80&amp;"#*",'Seed Keywords'!$E:$E)</f>
        <v>0</v>
      </c>
      <c r="U80" s="6" t="s">
        <v>687</v>
      </c>
    </row>
    <row r="81" customFormat="false" ht="23.85" hidden="false" customHeight="false" outlineLevel="0" collapsed="false">
      <c r="A81" s="6" t="s">
        <v>688</v>
      </c>
      <c r="B81" s="6" t="n">
        <v>3</v>
      </c>
      <c r="C81" s="6" t="s">
        <v>145</v>
      </c>
      <c r="D81" s="6" t="s">
        <v>315</v>
      </c>
      <c r="E81" s="6" t="s">
        <v>689</v>
      </c>
      <c r="F81" s="6" t="s">
        <v>690</v>
      </c>
      <c r="G81" s="6" t="s">
        <v>691</v>
      </c>
      <c r="H81" s="6" t="s">
        <v>319</v>
      </c>
      <c r="I81" s="6" t="s">
        <v>692</v>
      </c>
      <c r="J81" s="9" t="n">
        <f aca="false">IF(LEFT(I81,1)="(","",LEN(I81))</f>
        <v>46</v>
      </c>
      <c r="K81" s="6" t="s">
        <v>692</v>
      </c>
      <c r="L81" s="8"/>
      <c r="M81" s="6" t="str">
        <f aca="false">IF(L81="","",LEN(L81))</f>
        <v/>
      </c>
      <c r="N81" s="6" t="s">
        <v>321</v>
      </c>
      <c r="O81" s="6" t="s">
        <v>322</v>
      </c>
      <c r="P81" s="6" t="s">
        <v>323</v>
      </c>
      <c r="Q81" s="8" t="s">
        <v>118</v>
      </c>
      <c r="R81" s="6" t="s">
        <v>119</v>
      </c>
      <c r="S81" s="6" t="s">
        <v>203</v>
      </c>
      <c r="T81" s="10" t="n">
        <f aca="false">SUMIF('Seed Keywords'!$C:$C,E81,'Seed Keywords'!$E:$E)+SUMIF('Seed Keywords'!$C:$C,E81&amp;"#*",'Seed Keywords'!$E:$E)</f>
        <v>0</v>
      </c>
      <c r="U81" s="6"/>
    </row>
    <row r="82" customFormat="false" ht="23.85" hidden="false" customHeight="false" outlineLevel="0" collapsed="false">
      <c r="A82" s="6" t="s">
        <v>693</v>
      </c>
      <c r="B82" s="6" t="n">
        <v>3</v>
      </c>
      <c r="C82" s="6" t="s">
        <v>145</v>
      </c>
      <c r="D82" s="6" t="s">
        <v>315</v>
      </c>
      <c r="E82" s="6" t="s">
        <v>694</v>
      </c>
      <c r="F82" s="6" t="s">
        <v>695</v>
      </c>
      <c r="G82" s="6" t="s">
        <v>696</v>
      </c>
      <c r="H82" s="6" t="s">
        <v>319</v>
      </c>
      <c r="I82" s="6" t="s">
        <v>697</v>
      </c>
      <c r="J82" s="9" t="n">
        <f aca="false">IF(LEFT(I82,1)="(","",LEN(I82))</f>
        <v>46</v>
      </c>
      <c r="K82" s="6" t="s">
        <v>697</v>
      </c>
      <c r="L82" s="8"/>
      <c r="M82" s="6" t="str">
        <f aca="false">IF(L82="","",LEN(L82))</f>
        <v/>
      </c>
      <c r="N82" s="6" t="s">
        <v>321</v>
      </c>
      <c r="O82" s="6" t="s">
        <v>322</v>
      </c>
      <c r="P82" s="6" t="s">
        <v>323</v>
      </c>
      <c r="Q82" s="8" t="s">
        <v>118</v>
      </c>
      <c r="R82" s="6" t="s">
        <v>119</v>
      </c>
      <c r="S82" s="6" t="s">
        <v>382</v>
      </c>
      <c r="T82" s="10" t="n">
        <f aca="false">SUMIF('Seed Keywords'!$C:$C,E82,'Seed Keywords'!$E:$E)+SUMIF('Seed Keywords'!$C:$C,E82&amp;"#*",'Seed Keywords'!$E:$E)</f>
        <v>0</v>
      </c>
      <c r="U82" s="6"/>
    </row>
    <row r="83" customFormat="false" ht="23.85" hidden="false" customHeight="false" outlineLevel="0" collapsed="false">
      <c r="A83" s="6" t="s">
        <v>698</v>
      </c>
      <c r="B83" s="6" t="n">
        <v>3</v>
      </c>
      <c r="C83" s="6" t="s">
        <v>145</v>
      </c>
      <c r="D83" s="6" t="s">
        <v>315</v>
      </c>
      <c r="E83" s="6" t="s">
        <v>699</v>
      </c>
      <c r="F83" s="6" t="s">
        <v>700</v>
      </c>
      <c r="G83" s="6" t="s">
        <v>701</v>
      </c>
      <c r="H83" s="6" t="s">
        <v>319</v>
      </c>
      <c r="I83" s="6" t="s">
        <v>702</v>
      </c>
      <c r="J83" s="9" t="n">
        <f aca="false">IF(LEFT(I83,1)="(","",LEN(I83))</f>
        <v>39</v>
      </c>
      <c r="K83" s="6" t="s">
        <v>702</v>
      </c>
      <c r="L83" s="8"/>
      <c r="M83" s="6" t="str">
        <f aca="false">IF(L83="","",LEN(L83))</f>
        <v/>
      </c>
      <c r="N83" s="6" t="s">
        <v>321</v>
      </c>
      <c r="O83" s="6" t="s">
        <v>322</v>
      </c>
      <c r="P83" s="6" t="s">
        <v>323</v>
      </c>
      <c r="Q83" s="8" t="s">
        <v>118</v>
      </c>
      <c r="R83" s="6" t="s">
        <v>119</v>
      </c>
      <c r="S83" s="6" t="s">
        <v>212</v>
      </c>
      <c r="T83" s="10" t="n">
        <f aca="false">SUMIF('Seed Keywords'!$C:$C,E83,'Seed Keywords'!$E:$E)+SUMIF('Seed Keywords'!$C:$C,E83&amp;"#*",'Seed Keywords'!$E:$E)</f>
        <v>0</v>
      </c>
      <c r="U83" s="6"/>
    </row>
    <row r="84" customFormat="false" ht="23.85" hidden="false" customHeight="false" outlineLevel="0" collapsed="false">
      <c r="A84" s="6" t="s">
        <v>703</v>
      </c>
      <c r="B84" s="6" t="n">
        <v>3</v>
      </c>
      <c r="C84" s="6" t="s">
        <v>145</v>
      </c>
      <c r="D84" s="6" t="s">
        <v>315</v>
      </c>
      <c r="E84" s="6" t="s">
        <v>704</v>
      </c>
      <c r="F84" s="6" t="s">
        <v>705</v>
      </c>
      <c r="G84" s="6" t="s">
        <v>706</v>
      </c>
      <c r="H84" s="6" t="s">
        <v>319</v>
      </c>
      <c r="I84" s="6" t="s">
        <v>707</v>
      </c>
      <c r="J84" s="9" t="n">
        <f aca="false">IF(LEFT(I84,1)="(","",LEN(I84))</f>
        <v>49</v>
      </c>
      <c r="K84" s="6" t="s">
        <v>707</v>
      </c>
      <c r="L84" s="8"/>
      <c r="M84" s="6" t="str">
        <f aca="false">IF(L84="","",LEN(L84))</f>
        <v/>
      </c>
      <c r="N84" s="6" t="s">
        <v>321</v>
      </c>
      <c r="O84" s="6" t="s">
        <v>322</v>
      </c>
      <c r="P84" s="6" t="s">
        <v>323</v>
      </c>
      <c r="Q84" s="8" t="s">
        <v>118</v>
      </c>
      <c r="R84" s="6" t="s">
        <v>119</v>
      </c>
      <c r="S84" s="6" t="s">
        <v>182</v>
      </c>
      <c r="T84" s="10" t="n">
        <f aca="false">SUMIF('Seed Keywords'!$C:$C,E84,'Seed Keywords'!$E:$E)+SUMIF('Seed Keywords'!$C:$C,E84&amp;"#*",'Seed Keywords'!$E:$E)</f>
        <v>0</v>
      </c>
      <c r="U84" s="6"/>
    </row>
    <row r="85" customFormat="false" ht="23.85" hidden="false" customHeight="false" outlineLevel="0" collapsed="false">
      <c r="A85" s="6" t="s">
        <v>708</v>
      </c>
      <c r="B85" s="6" t="n">
        <v>3</v>
      </c>
      <c r="C85" s="6" t="s">
        <v>145</v>
      </c>
      <c r="D85" s="6" t="s">
        <v>315</v>
      </c>
      <c r="E85" s="6" t="s">
        <v>709</v>
      </c>
      <c r="F85" s="6" t="s">
        <v>710</v>
      </c>
      <c r="G85" s="6" t="s">
        <v>711</v>
      </c>
      <c r="H85" s="6" t="s">
        <v>319</v>
      </c>
      <c r="I85" s="6" t="s">
        <v>712</v>
      </c>
      <c r="J85" s="9" t="n">
        <f aca="false">IF(LEFT(I85,1)="(","",LEN(I85))</f>
        <v>44</v>
      </c>
      <c r="K85" s="6" t="s">
        <v>712</v>
      </c>
      <c r="L85" s="8"/>
      <c r="M85" s="6" t="str">
        <f aca="false">IF(L85="","",LEN(L85))</f>
        <v/>
      </c>
      <c r="N85" s="6" t="s">
        <v>321</v>
      </c>
      <c r="O85" s="6" t="s">
        <v>322</v>
      </c>
      <c r="P85" s="6" t="s">
        <v>323</v>
      </c>
      <c r="Q85" s="8" t="s">
        <v>118</v>
      </c>
      <c r="R85" s="6" t="s">
        <v>119</v>
      </c>
      <c r="S85" s="6" t="s">
        <v>182</v>
      </c>
      <c r="T85" s="10" t="n">
        <f aca="false">SUMIF('Seed Keywords'!$C:$C,E85,'Seed Keywords'!$E:$E)+SUMIF('Seed Keywords'!$C:$C,E85&amp;"#*",'Seed Keywords'!$E:$E)</f>
        <v>0</v>
      </c>
      <c r="U85" s="6"/>
    </row>
    <row r="86" customFormat="false" ht="23.85" hidden="false" customHeight="false" outlineLevel="0" collapsed="false">
      <c r="A86" s="6" t="s">
        <v>713</v>
      </c>
      <c r="B86" s="6" t="n">
        <v>3</v>
      </c>
      <c r="C86" s="6" t="s">
        <v>145</v>
      </c>
      <c r="D86" s="6" t="s">
        <v>315</v>
      </c>
      <c r="E86" s="6" t="s">
        <v>714</v>
      </c>
      <c r="F86" s="6" t="s">
        <v>715</v>
      </c>
      <c r="G86" s="6" t="s">
        <v>716</v>
      </c>
      <c r="H86" s="6" t="s">
        <v>319</v>
      </c>
      <c r="I86" s="6" t="s">
        <v>717</v>
      </c>
      <c r="J86" s="9" t="n">
        <f aca="false">IF(LEFT(I86,1)="(","",LEN(I86))</f>
        <v>36</v>
      </c>
      <c r="K86" s="6" t="s">
        <v>717</v>
      </c>
      <c r="L86" s="8"/>
      <c r="M86" s="6" t="str">
        <f aca="false">IF(L86="","",LEN(L86))</f>
        <v/>
      </c>
      <c r="N86" s="6" t="s">
        <v>321</v>
      </c>
      <c r="O86" s="6" t="s">
        <v>322</v>
      </c>
      <c r="P86" s="6" t="s">
        <v>323</v>
      </c>
      <c r="Q86" s="8" t="s">
        <v>118</v>
      </c>
      <c r="R86" s="6" t="s">
        <v>119</v>
      </c>
      <c r="S86" s="6" t="s">
        <v>182</v>
      </c>
      <c r="T86" s="10" t="n">
        <f aca="false">SUMIF('Seed Keywords'!$C:$C,E86,'Seed Keywords'!$E:$E)+SUMIF('Seed Keywords'!$C:$C,E86&amp;"#*",'Seed Keywords'!$E:$E)</f>
        <v>0</v>
      </c>
      <c r="U86" s="6"/>
    </row>
    <row r="87" customFormat="false" ht="23.85" hidden="false" customHeight="false" outlineLevel="0" collapsed="false">
      <c r="A87" s="6" t="s">
        <v>718</v>
      </c>
      <c r="B87" s="6" t="n">
        <v>3</v>
      </c>
      <c r="C87" s="6" t="s">
        <v>145</v>
      </c>
      <c r="D87" s="6" t="s">
        <v>315</v>
      </c>
      <c r="E87" s="6" t="s">
        <v>719</v>
      </c>
      <c r="F87" s="6" t="s">
        <v>720</v>
      </c>
      <c r="G87" s="6" t="s">
        <v>721</v>
      </c>
      <c r="H87" s="6" t="s">
        <v>319</v>
      </c>
      <c r="I87" s="6" t="s">
        <v>722</v>
      </c>
      <c r="J87" s="9" t="n">
        <f aca="false">IF(LEFT(I87,1)="(","",LEN(I87))</f>
        <v>29</v>
      </c>
      <c r="K87" s="6" t="s">
        <v>722</v>
      </c>
      <c r="L87" s="8"/>
      <c r="M87" s="6" t="str">
        <f aca="false">IF(L87="","",LEN(L87))</f>
        <v/>
      </c>
      <c r="N87" s="6" t="s">
        <v>321</v>
      </c>
      <c r="O87" s="6" t="s">
        <v>322</v>
      </c>
      <c r="P87" s="6" t="s">
        <v>323</v>
      </c>
      <c r="Q87" s="8" t="s">
        <v>118</v>
      </c>
      <c r="R87" s="6" t="s">
        <v>119</v>
      </c>
      <c r="S87" s="6" t="s">
        <v>355</v>
      </c>
      <c r="T87" s="10" t="n">
        <f aca="false">SUMIF('Seed Keywords'!$C:$C,E87,'Seed Keywords'!$E:$E)+SUMIF('Seed Keywords'!$C:$C,E87&amp;"#*",'Seed Keywords'!$E:$E)</f>
        <v>0</v>
      </c>
      <c r="U87" s="6"/>
    </row>
    <row r="88" customFormat="false" ht="23.85" hidden="false" customHeight="false" outlineLevel="0" collapsed="false">
      <c r="A88" s="6" t="s">
        <v>723</v>
      </c>
      <c r="B88" s="6" t="n">
        <v>3</v>
      </c>
      <c r="C88" s="6" t="s">
        <v>145</v>
      </c>
      <c r="D88" s="6" t="s">
        <v>315</v>
      </c>
      <c r="E88" s="6" t="s">
        <v>724</v>
      </c>
      <c r="F88" s="6" t="s">
        <v>725</v>
      </c>
      <c r="G88" s="6" t="s">
        <v>726</v>
      </c>
      <c r="H88" s="6" t="s">
        <v>319</v>
      </c>
      <c r="I88" s="6" t="s">
        <v>727</v>
      </c>
      <c r="J88" s="9" t="n">
        <f aca="false">IF(LEFT(I88,1)="(","",LEN(I88))</f>
        <v>36</v>
      </c>
      <c r="K88" s="6" t="s">
        <v>727</v>
      </c>
      <c r="L88" s="8"/>
      <c r="M88" s="6" t="str">
        <f aca="false">IF(L88="","",LEN(L88))</f>
        <v/>
      </c>
      <c r="N88" s="6" t="s">
        <v>321</v>
      </c>
      <c r="O88" s="6" t="s">
        <v>322</v>
      </c>
      <c r="P88" s="6" t="s">
        <v>323</v>
      </c>
      <c r="Q88" s="8" t="s">
        <v>118</v>
      </c>
      <c r="R88" s="6" t="s">
        <v>119</v>
      </c>
      <c r="S88" s="6" t="s">
        <v>348</v>
      </c>
      <c r="T88" s="10" t="n">
        <f aca="false">SUMIF('Seed Keywords'!$C:$C,E88,'Seed Keywords'!$E:$E)+SUMIF('Seed Keywords'!$C:$C,E88&amp;"#*",'Seed Keywords'!$E:$E)</f>
        <v>0</v>
      </c>
      <c r="U88" s="6"/>
    </row>
    <row r="89" customFormat="false" ht="23.85" hidden="false" customHeight="false" outlineLevel="0" collapsed="false">
      <c r="A89" s="6" t="s">
        <v>728</v>
      </c>
      <c r="B89" s="6" t="n">
        <v>3</v>
      </c>
      <c r="C89" s="6" t="s">
        <v>406</v>
      </c>
      <c r="D89" s="6" t="s">
        <v>567</v>
      </c>
      <c r="E89" s="6" t="s">
        <v>729</v>
      </c>
      <c r="F89" s="6" t="s">
        <v>730</v>
      </c>
      <c r="G89" s="6" t="s">
        <v>731</v>
      </c>
      <c r="H89" s="6" t="s">
        <v>185</v>
      </c>
      <c r="I89" s="6" t="s">
        <v>732</v>
      </c>
      <c r="J89" s="9" t="n">
        <f aca="false">IF(LEFT(I89,1)="(","",LEN(I89))</f>
        <v>47</v>
      </c>
      <c r="K89" s="6" t="s">
        <v>733</v>
      </c>
      <c r="L89" s="8"/>
      <c r="M89" s="6" t="str">
        <f aca="false">IF(L89="","",LEN(L89))</f>
        <v/>
      </c>
      <c r="N89" s="6" t="s">
        <v>573</v>
      </c>
      <c r="O89" s="6" t="s">
        <v>574</v>
      </c>
      <c r="P89" s="6" t="s">
        <v>575</v>
      </c>
      <c r="Q89" s="8" t="s">
        <v>416</v>
      </c>
      <c r="R89" s="6" t="s">
        <v>119</v>
      </c>
      <c r="S89" s="6" t="s">
        <v>734</v>
      </c>
      <c r="T89" s="10" t="n">
        <f aca="false">SUMIF('Seed Keywords'!$C:$C,E89,'Seed Keywords'!$E:$E)+SUMIF('Seed Keywords'!$C:$C,E89&amp;"#*",'Seed Keywords'!$E:$E)</f>
        <v>0</v>
      </c>
      <c r="U89" s="6" t="s">
        <v>735</v>
      </c>
    </row>
    <row r="90" customFormat="false" ht="23.85" hidden="false" customHeight="false" outlineLevel="0" collapsed="false">
      <c r="A90" s="6" t="s">
        <v>736</v>
      </c>
      <c r="B90" s="6" t="n">
        <v>3</v>
      </c>
      <c r="C90" s="6" t="s">
        <v>406</v>
      </c>
      <c r="D90" s="6" t="s">
        <v>567</v>
      </c>
      <c r="E90" s="6" t="s">
        <v>737</v>
      </c>
      <c r="F90" s="6" t="s">
        <v>738</v>
      </c>
      <c r="G90" s="6" t="s">
        <v>739</v>
      </c>
      <c r="H90" s="6" t="s">
        <v>185</v>
      </c>
      <c r="I90" s="6" t="s">
        <v>740</v>
      </c>
      <c r="J90" s="9" t="n">
        <f aca="false">IF(LEFT(I90,1)="(","",LEN(I90))</f>
        <v>44</v>
      </c>
      <c r="K90" s="6" t="s">
        <v>741</v>
      </c>
      <c r="L90" s="8"/>
      <c r="M90" s="6" t="str">
        <f aca="false">IF(L90="","",LEN(L90))</f>
        <v/>
      </c>
      <c r="N90" s="6" t="s">
        <v>573</v>
      </c>
      <c r="O90" s="6" t="s">
        <v>574</v>
      </c>
      <c r="P90" s="6" t="s">
        <v>575</v>
      </c>
      <c r="Q90" s="8" t="s">
        <v>416</v>
      </c>
      <c r="R90" s="6" t="s">
        <v>119</v>
      </c>
      <c r="S90" s="6" t="s">
        <v>742</v>
      </c>
      <c r="T90" s="10" t="n">
        <f aca="false">SUMIF('Seed Keywords'!$C:$C,E90,'Seed Keywords'!$E:$E)+SUMIF('Seed Keywords'!$C:$C,E90&amp;"#*",'Seed Keywords'!$E:$E)</f>
        <v>0</v>
      </c>
      <c r="U90" s="6" t="s">
        <v>735</v>
      </c>
    </row>
    <row r="91" customFormat="false" ht="23.85" hidden="false" customHeight="false" outlineLevel="0" collapsed="false">
      <c r="A91" s="6" t="s">
        <v>743</v>
      </c>
      <c r="B91" s="6" t="n">
        <v>3</v>
      </c>
      <c r="C91" s="6" t="s">
        <v>406</v>
      </c>
      <c r="D91" s="6" t="s">
        <v>567</v>
      </c>
      <c r="E91" s="6" t="s">
        <v>744</v>
      </c>
      <c r="F91" s="6" t="s">
        <v>745</v>
      </c>
      <c r="G91" s="6" t="s">
        <v>746</v>
      </c>
      <c r="H91" s="6" t="s">
        <v>185</v>
      </c>
      <c r="I91" s="6" t="s">
        <v>747</v>
      </c>
      <c r="J91" s="9" t="n">
        <f aca="false">IF(LEFT(I91,1)="(","",LEN(I91))</f>
        <v>57</v>
      </c>
      <c r="K91" s="6" t="s">
        <v>748</v>
      </c>
      <c r="L91" s="8"/>
      <c r="M91" s="6" t="str">
        <f aca="false">IF(L91="","",LEN(L91))</f>
        <v/>
      </c>
      <c r="N91" s="6" t="s">
        <v>573</v>
      </c>
      <c r="O91" s="6" t="s">
        <v>574</v>
      </c>
      <c r="P91" s="6" t="s">
        <v>575</v>
      </c>
      <c r="Q91" s="8" t="s">
        <v>416</v>
      </c>
      <c r="R91" s="6" t="s">
        <v>119</v>
      </c>
      <c r="S91" s="6" t="s">
        <v>749</v>
      </c>
      <c r="T91" s="10" t="n">
        <f aca="false">SUMIF('Seed Keywords'!$C:$C,E91,'Seed Keywords'!$E:$E)+SUMIF('Seed Keywords'!$C:$C,E91&amp;"#*",'Seed Keywords'!$E:$E)</f>
        <v>0</v>
      </c>
      <c r="U91" s="6" t="s">
        <v>735</v>
      </c>
    </row>
    <row r="92" customFormat="false" ht="23.85" hidden="false" customHeight="false" outlineLevel="0" collapsed="false">
      <c r="A92" s="6" t="s">
        <v>750</v>
      </c>
      <c r="B92" s="6" t="n">
        <v>3</v>
      </c>
      <c r="C92" s="6" t="s">
        <v>406</v>
      </c>
      <c r="D92" s="6" t="s">
        <v>567</v>
      </c>
      <c r="E92" s="6" t="s">
        <v>751</v>
      </c>
      <c r="F92" s="6" t="s">
        <v>752</v>
      </c>
      <c r="G92" s="6" t="s">
        <v>753</v>
      </c>
      <c r="H92" s="6" t="s">
        <v>185</v>
      </c>
      <c r="I92" s="6" t="s">
        <v>754</v>
      </c>
      <c r="J92" s="9" t="n">
        <f aca="false">IF(LEFT(I92,1)="(","",LEN(I92))</f>
        <v>50</v>
      </c>
      <c r="K92" s="6" t="s">
        <v>755</v>
      </c>
      <c r="L92" s="8"/>
      <c r="M92" s="6" t="str">
        <f aca="false">IF(L92="","",LEN(L92))</f>
        <v/>
      </c>
      <c r="N92" s="6" t="s">
        <v>573</v>
      </c>
      <c r="O92" s="6" t="s">
        <v>574</v>
      </c>
      <c r="P92" s="6" t="s">
        <v>575</v>
      </c>
      <c r="Q92" s="8" t="s">
        <v>416</v>
      </c>
      <c r="R92" s="6" t="s">
        <v>119</v>
      </c>
      <c r="S92" s="6" t="s">
        <v>756</v>
      </c>
      <c r="T92" s="10" t="n">
        <f aca="false">SUMIF('Seed Keywords'!$C:$C,E92,'Seed Keywords'!$E:$E)+SUMIF('Seed Keywords'!$C:$C,E92&amp;"#*",'Seed Keywords'!$E:$E)</f>
        <v>0</v>
      </c>
      <c r="U92" s="6" t="s">
        <v>735</v>
      </c>
    </row>
    <row r="93" customFormat="false" ht="23.85" hidden="false" customHeight="false" outlineLevel="0" collapsed="false">
      <c r="A93" s="6" t="s">
        <v>757</v>
      </c>
      <c r="B93" s="6" t="n">
        <v>3</v>
      </c>
      <c r="C93" s="6" t="s">
        <v>406</v>
      </c>
      <c r="D93" s="6" t="s">
        <v>567</v>
      </c>
      <c r="E93" s="6" t="s">
        <v>758</v>
      </c>
      <c r="F93" s="6" t="s">
        <v>759</v>
      </c>
      <c r="G93" s="6" t="s">
        <v>760</v>
      </c>
      <c r="H93" s="6" t="s">
        <v>185</v>
      </c>
      <c r="I93" s="6" t="s">
        <v>761</v>
      </c>
      <c r="J93" s="9" t="n">
        <f aca="false">IF(LEFT(I93,1)="(","",LEN(I93))</f>
        <v>44</v>
      </c>
      <c r="K93" s="6" t="s">
        <v>761</v>
      </c>
      <c r="L93" s="8"/>
      <c r="M93" s="6" t="str">
        <f aca="false">IF(L93="","",LEN(L93))</f>
        <v/>
      </c>
      <c r="N93" s="6" t="s">
        <v>573</v>
      </c>
      <c r="O93" s="6" t="s">
        <v>574</v>
      </c>
      <c r="P93" s="6" t="s">
        <v>575</v>
      </c>
      <c r="Q93" s="8" t="s">
        <v>416</v>
      </c>
      <c r="R93" s="6" t="s">
        <v>119</v>
      </c>
      <c r="S93" s="6" t="s">
        <v>762</v>
      </c>
      <c r="T93" s="10" t="n">
        <f aca="false">SUMIF('Seed Keywords'!$C:$C,E93,'Seed Keywords'!$E:$E)+SUMIF('Seed Keywords'!$C:$C,E93&amp;"#*",'Seed Keywords'!$E:$E)</f>
        <v>0</v>
      </c>
      <c r="U93" s="6" t="s">
        <v>735</v>
      </c>
    </row>
    <row r="94" customFormat="false" ht="23.85" hidden="false" customHeight="false" outlineLevel="0" collapsed="false">
      <c r="A94" s="6" t="s">
        <v>763</v>
      </c>
      <c r="B94" s="6" t="n">
        <v>3</v>
      </c>
      <c r="C94" s="6" t="s">
        <v>406</v>
      </c>
      <c r="D94" s="6" t="s">
        <v>567</v>
      </c>
      <c r="E94" s="6" t="s">
        <v>764</v>
      </c>
      <c r="F94" s="6" t="s">
        <v>765</v>
      </c>
      <c r="G94" s="6" t="s">
        <v>766</v>
      </c>
      <c r="H94" s="6" t="s">
        <v>185</v>
      </c>
      <c r="I94" s="6" t="s">
        <v>767</v>
      </c>
      <c r="J94" s="9" t="n">
        <f aca="false">IF(LEFT(I94,1)="(","",LEN(I94))</f>
        <v>51</v>
      </c>
      <c r="K94" s="6" t="s">
        <v>768</v>
      </c>
      <c r="L94" s="8"/>
      <c r="M94" s="6" t="str">
        <f aca="false">IF(L94="","",LEN(L94))</f>
        <v/>
      </c>
      <c r="N94" s="6" t="s">
        <v>573</v>
      </c>
      <c r="O94" s="6" t="s">
        <v>574</v>
      </c>
      <c r="P94" s="6" t="s">
        <v>575</v>
      </c>
      <c r="Q94" s="8" t="s">
        <v>416</v>
      </c>
      <c r="R94" s="6" t="s">
        <v>119</v>
      </c>
      <c r="S94" s="6" t="s">
        <v>769</v>
      </c>
      <c r="T94" s="10" t="n">
        <f aca="false">SUMIF('Seed Keywords'!$C:$C,E94,'Seed Keywords'!$E:$E)+SUMIF('Seed Keywords'!$C:$C,E94&amp;"#*",'Seed Keywords'!$E:$E)</f>
        <v>0</v>
      </c>
      <c r="U94" s="6" t="s">
        <v>735</v>
      </c>
    </row>
    <row r="95" customFormat="false" ht="23.85" hidden="false" customHeight="false" outlineLevel="0" collapsed="false">
      <c r="A95" s="6" t="s">
        <v>770</v>
      </c>
      <c r="B95" s="6" t="n">
        <v>3</v>
      </c>
      <c r="C95" s="6" t="s">
        <v>406</v>
      </c>
      <c r="D95" s="6" t="s">
        <v>567</v>
      </c>
      <c r="E95" s="6" t="s">
        <v>771</v>
      </c>
      <c r="F95" s="6" t="s">
        <v>772</v>
      </c>
      <c r="G95" s="6" t="s">
        <v>773</v>
      </c>
      <c r="H95" s="6" t="s">
        <v>185</v>
      </c>
      <c r="I95" s="6" t="s">
        <v>774</v>
      </c>
      <c r="J95" s="9" t="n">
        <f aca="false">IF(LEFT(I95,1)="(","",LEN(I95))</f>
        <v>48</v>
      </c>
      <c r="K95" s="6" t="s">
        <v>775</v>
      </c>
      <c r="L95" s="8"/>
      <c r="M95" s="6" t="str">
        <f aca="false">IF(L95="","",LEN(L95))</f>
        <v/>
      </c>
      <c r="N95" s="6" t="s">
        <v>573</v>
      </c>
      <c r="O95" s="6" t="s">
        <v>574</v>
      </c>
      <c r="P95" s="6" t="s">
        <v>575</v>
      </c>
      <c r="Q95" s="8" t="s">
        <v>416</v>
      </c>
      <c r="R95" s="6" t="s">
        <v>119</v>
      </c>
      <c r="S95" s="6" t="s">
        <v>776</v>
      </c>
      <c r="T95" s="10" t="n">
        <f aca="false">SUMIF('Seed Keywords'!$C:$C,E95,'Seed Keywords'!$E:$E)+SUMIF('Seed Keywords'!$C:$C,E95&amp;"#*",'Seed Keywords'!$E:$E)</f>
        <v>0</v>
      </c>
      <c r="U95" s="6" t="s">
        <v>735</v>
      </c>
    </row>
    <row r="96" customFormat="false" ht="23.85" hidden="false" customHeight="false" outlineLevel="0" collapsed="false">
      <c r="A96" s="6" t="s">
        <v>777</v>
      </c>
      <c r="B96" s="6" t="n">
        <v>3</v>
      </c>
      <c r="C96" s="6" t="s">
        <v>406</v>
      </c>
      <c r="D96" s="6" t="s">
        <v>567</v>
      </c>
      <c r="E96" s="6" t="s">
        <v>778</v>
      </c>
      <c r="F96" s="6" t="s">
        <v>779</v>
      </c>
      <c r="G96" s="6" t="s">
        <v>780</v>
      </c>
      <c r="H96" s="6" t="s">
        <v>185</v>
      </c>
      <c r="I96" s="6" t="s">
        <v>781</v>
      </c>
      <c r="J96" s="9" t="n">
        <f aca="false">IF(LEFT(I96,1)="(","",LEN(I96))</f>
        <v>42</v>
      </c>
      <c r="K96" s="6" t="s">
        <v>781</v>
      </c>
      <c r="L96" s="8"/>
      <c r="M96" s="6" t="str">
        <f aca="false">IF(L96="","",LEN(L96))</f>
        <v/>
      </c>
      <c r="N96" s="6" t="s">
        <v>573</v>
      </c>
      <c r="O96" s="6" t="s">
        <v>574</v>
      </c>
      <c r="P96" s="6" t="s">
        <v>575</v>
      </c>
      <c r="Q96" s="8" t="s">
        <v>416</v>
      </c>
      <c r="R96" s="6" t="s">
        <v>119</v>
      </c>
      <c r="S96" s="6" t="s">
        <v>782</v>
      </c>
      <c r="T96" s="10" t="n">
        <f aca="false">SUMIF('Seed Keywords'!$C:$C,E96,'Seed Keywords'!$E:$E)+SUMIF('Seed Keywords'!$C:$C,E96&amp;"#*",'Seed Keywords'!$E:$E)</f>
        <v>0</v>
      </c>
      <c r="U96" s="6" t="s">
        <v>735</v>
      </c>
    </row>
    <row r="97" customFormat="false" ht="23.85" hidden="false" customHeight="false" outlineLevel="0" collapsed="false">
      <c r="A97" s="6" t="s">
        <v>783</v>
      </c>
      <c r="B97" s="6" t="n">
        <v>3</v>
      </c>
      <c r="C97" s="6" t="s">
        <v>406</v>
      </c>
      <c r="D97" s="6" t="s">
        <v>567</v>
      </c>
      <c r="E97" s="6" t="s">
        <v>784</v>
      </c>
      <c r="F97" s="6" t="s">
        <v>785</v>
      </c>
      <c r="G97" s="6" t="s">
        <v>786</v>
      </c>
      <c r="H97" s="6" t="s">
        <v>185</v>
      </c>
      <c r="I97" s="6" t="s">
        <v>787</v>
      </c>
      <c r="J97" s="9" t="n">
        <f aca="false">IF(LEFT(I97,1)="(","",LEN(I97))</f>
        <v>50</v>
      </c>
      <c r="K97" s="6" t="s">
        <v>788</v>
      </c>
      <c r="L97" s="8"/>
      <c r="M97" s="6" t="str">
        <f aca="false">IF(L97="","",LEN(L97))</f>
        <v/>
      </c>
      <c r="N97" s="6" t="s">
        <v>573</v>
      </c>
      <c r="O97" s="6" t="s">
        <v>574</v>
      </c>
      <c r="P97" s="6" t="s">
        <v>575</v>
      </c>
      <c r="Q97" s="8" t="s">
        <v>416</v>
      </c>
      <c r="R97" s="6" t="s">
        <v>119</v>
      </c>
      <c r="S97" s="6" t="s">
        <v>789</v>
      </c>
      <c r="T97" s="10" t="n">
        <f aca="false">SUMIF('Seed Keywords'!$C:$C,E97,'Seed Keywords'!$E:$E)+SUMIF('Seed Keywords'!$C:$C,E97&amp;"#*",'Seed Keywords'!$E:$E)</f>
        <v>0</v>
      </c>
      <c r="U97" s="6" t="s">
        <v>735</v>
      </c>
    </row>
    <row r="98" customFormat="false" ht="23.85" hidden="false" customHeight="false" outlineLevel="0" collapsed="false">
      <c r="A98" s="6" t="s">
        <v>790</v>
      </c>
      <c r="B98" s="6" t="n">
        <v>3</v>
      </c>
      <c r="C98" s="6" t="s">
        <v>406</v>
      </c>
      <c r="D98" s="6" t="s">
        <v>567</v>
      </c>
      <c r="E98" s="6" t="s">
        <v>791</v>
      </c>
      <c r="F98" s="6" t="s">
        <v>792</v>
      </c>
      <c r="G98" s="6" t="s">
        <v>793</v>
      </c>
      <c r="H98" s="6" t="s">
        <v>185</v>
      </c>
      <c r="I98" s="6" t="s">
        <v>794</v>
      </c>
      <c r="J98" s="9" t="n">
        <f aca="false">IF(LEFT(I98,1)="(","",LEN(I98))</f>
        <v>47</v>
      </c>
      <c r="K98" s="6" t="s">
        <v>795</v>
      </c>
      <c r="L98" s="8"/>
      <c r="M98" s="6" t="str">
        <f aca="false">IF(L98="","",LEN(L98))</f>
        <v/>
      </c>
      <c r="N98" s="6" t="s">
        <v>573</v>
      </c>
      <c r="O98" s="6" t="s">
        <v>574</v>
      </c>
      <c r="P98" s="6" t="s">
        <v>575</v>
      </c>
      <c r="Q98" s="8" t="s">
        <v>416</v>
      </c>
      <c r="R98" s="6" t="s">
        <v>119</v>
      </c>
      <c r="S98" s="6" t="s">
        <v>796</v>
      </c>
      <c r="T98" s="10" t="n">
        <f aca="false">SUMIF('Seed Keywords'!$C:$C,E98,'Seed Keywords'!$E:$E)+SUMIF('Seed Keywords'!$C:$C,E98&amp;"#*",'Seed Keywords'!$E:$E)</f>
        <v>0</v>
      </c>
      <c r="U98" s="6" t="s">
        <v>735</v>
      </c>
    </row>
    <row r="99" customFormat="false" ht="23.85" hidden="false" customHeight="false" outlineLevel="0" collapsed="false">
      <c r="A99" s="6" t="s">
        <v>797</v>
      </c>
      <c r="B99" s="6" t="n">
        <v>3</v>
      </c>
      <c r="C99" s="6" t="s">
        <v>406</v>
      </c>
      <c r="D99" s="6" t="s">
        <v>567</v>
      </c>
      <c r="E99" s="6" t="s">
        <v>798</v>
      </c>
      <c r="F99" s="6" t="s">
        <v>799</v>
      </c>
      <c r="G99" s="6" t="s">
        <v>800</v>
      </c>
      <c r="H99" s="6" t="s">
        <v>185</v>
      </c>
      <c r="I99" s="6" t="s">
        <v>801</v>
      </c>
      <c r="J99" s="9" t="n">
        <f aca="false">IF(LEFT(I99,1)="(","",LEN(I99))</f>
        <v>60</v>
      </c>
      <c r="K99" s="6" t="s">
        <v>802</v>
      </c>
      <c r="L99" s="8"/>
      <c r="M99" s="6" t="str">
        <f aca="false">IF(L99="","",LEN(L99))</f>
        <v/>
      </c>
      <c r="N99" s="6" t="s">
        <v>573</v>
      </c>
      <c r="O99" s="6" t="s">
        <v>574</v>
      </c>
      <c r="P99" s="6" t="s">
        <v>575</v>
      </c>
      <c r="Q99" s="8" t="s">
        <v>416</v>
      </c>
      <c r="R99" s="6" t="s">
        <v>119</v>
      </c>
      <c r="S99" s="6" t="s">
        <v>803</v>
      </c>
      <c r="T99" s="10" t="n">
        <f aca="false">SUMIF('Seed Keywords'!$C:$C,E99,'Seed Keywords'!$E:$E)+SUMIF('Seed Keywords'!$C:$C,E99&amp;"#*",'Seed Keywords'!$E:$E)</f>
        <v>0</v>
      </c>
      <c r="U99" s="6" t="s">
        <v>735</v>
      </c>
    </row>
    <row r="100" customFormat="false" ht="23.85" hidden="false" customHeight="false" outlineLevel="0" collapsed="false">
      <c r="A100" s="6" t="s">
        <v>804</v>
      </c>
      <c r="B100" s="6" t="n">
        <v>3</v>
      </c>
      <c r="C100" s="6" t="s">
        <v>406</v>
      </c>
      <c r="D100" s="6" t="s">
        <v>567</v>
      </c>
      <c r="E100" s="6" t="s">
        <v>805</v>
      </c>
      <c r="F100" s="6" t="s">
        <v>806</v>
      </c>
      <c r="G100" s="6" t="s">
        <v>807</v>
      </c>
      <c r="H100" s="6" t="s">
        <v>185</v>
      </c>
      <c r="I100" s="6" t="s">
        <v>808</v>
      </c>
      <c r="J100" s="9" t="n">
        <f aca="false">IF(LEFT(I100,1)="(","",LEN(I100))</f>
        <v>47</v>
      </c>
      <c r="K100" s="6" t="s">
        <v>809</v>
      </c>
      <c r="L100" s="8"/>
      <c r="M100" s="6" t="str">
        <f aca="false">IF(L100="","",LEN(L100))</f>
        <v/>
      </c>
      <c r="N100" s="6" t="s">
        <v>573</v>
      </c>
      <c r="O100" s="6" t="s">
        <v>574</v>
      </c>
      <c r="P100" s="6" t="s">
        <v>575</v>
      </c>
      <c r="Q100" s="8" t="s">
        <v>416</v>
      </c>
      <c r="R100" s="6" t="s">
        <v>119</v>
      </c>
      <c r="S100" s="6" t="s">
        <v>810</v>
      </c>
      <c r="T100" s="10" t="n">
        <f aca="false">SUMIF('Seed Keywords'!$C:$C,E100,'Seed Keywords'!$E:$E)+SUMIF('Seed Keywords'!$C:$C,E100&amp;"#*",'Seed Keywords'!$E:$E)</f>
        <v>0</v>
      </c>
      <c r="U100" s="6" t="s">
        <v>735</v>
      </c>
    </row>
    <row r="101" customFormat="false" ht="23.85" hidden="false" customHeight="false" outlineLevel="0" collapsed="false">
      <c r="A101" s="6" t="s">
        <v>811</v>
      </c>
      <c r="B101" s="6" t="n">
        <v>3</v>
      </c>
      <c r="C101" s="6" t="s">
        <v>406</v>
      </c>
      <c r="D101" s="6" t="s">
        <v>567</v>
      </c>
      <c r="E101" s="6" t="s">
        <v>812</v>
      </c>
      <c r="F101" s="6" t="s">
        <v>813</v>
      </c>
      <c r="G101" s="6" t="s">
        <v>814</v>
      </c>
      <c r="H101" s="6" t="s">
        <v>185</v>
      </c>
      <c r="I101" s="6" t="s">
        <v>815</v>
      </c>
      <c r="J101" s="9" t="n">
        <f aca="false">IF(LEFT(I101,1)="(","",LEN(I101))</f>
        <v>44</v>
      </c>
      <c r="K101" s="6" t="s">
        <v>816</v>
      </c>
      <c r="L101" s="8"/>
      <c r="M101" s="6" t="str">
        <f aca="false">IF(L101="","",LEN(L101))</f>
        <v/>
      </c>
      <c r="N101" s="6" t="s">
        <v>573</v>
      </c>
      <c r="O101" s="6" t="s">
        <v>574</v>
      </c>
      <c r="P101" s="6" t="s">
        <v>575</v>
      </c>
      <c r="Q101" s="8" t="s">
        <v>416</v>
      </c>
      <c r="R101" s="6" t="s">
        <v>119</v>
      </c>
      <c r="S101" s="6" t="s">
        <v>817</v>
      </c>
      <c r="T101" s="10" t="n">
        <f aca="false">SUMIF('Seed Keywords'!$C:$C,E101,'Seed Keywords'!$E:$E)+SUMIF('Seed Keywords'!$C:$C,E101&amp;"#*",'Seed Keywords'!$E:$E)</f>
        <v>0</v>
      </c>
      <c r="U101" s="6" t="s">
        <v>735</v>
      </c>
    </row>
    <row r="102" customFormat="false" ht="23.85" hidden="false" customHeight="false" outlineLevel="0" collapsed="false">
      <c r="A102" s="6" t="s">
        <v>818</v>
      </c>
      <c r="B102" s="6" t="n">
        <v>3</v>
      </c>
      <c r="C102" s="6" t="s">
        <v>406</v>
      </c>
      <c r="D102" s="6" t="s">
        <v>567</v>
      </c>
      <c r="E102" s="6" t="s">
        <v>819</v>
      </c>
      <c r="F102" s="6" t="s">
        <v>820</v>
      </c>
      <c r="G102" s="6" t="s">
        <v>821</v>
      </c>
      <c r="H102" s="6" t="s">
        <v>185</v>
      </c>
      <c r="I102" s="6" t="s">
        <v>822</v>
      </c>
      <c r="J102" s="9" t="n">
        <f aca="false">IF(LEFT(I102,1)="(","",LEN(I102))</f>
        <v>57</v>
      </c>
      <c r="K102" s="6" t="s">
        <v>823</v>
      </c>
      <c r="L102" s="8"/>
      <c r="M102" s="6" t="str">
        <f aca="false">IF(L102="","",LEN(L102))</f>
        <v/>
      </c>
      <c r="N102" s="6" t="s">
        <v>573</v>
      </c>
      <c r="O102" s="6" t="s">
        <v>574</v>
      </c>
      <c r="P102" s="6" t="s">
        <v>575</v>
      </c>
      <c r="Q102" s="8" t="s">
        <v>416</v>
      </c>
      <c r="R102" s="6" t="s">
        <v>119</v>
      </c>
      <c r="S102" s="6" t="s">
        <v>824</v>
      </c>
      <c r="T102" s="10" t="n">
        <f aca="false">SUMIF('Seed Keywords'!$C:$C,E102,'Seed Keywords'!$E:$E)+SUMIF('Seed Keywords'!$C:$C,E102&amp;"#*",'Seed Keywords'!$E:$E)</f>
        <v>0</v>
      </c>
      <c r="U102" s="6" t="s">
        <v>735</v>
      </c>
    </row>
    <row r="103" customFormat="false" ht="23.85" hidden="false" customHeight="false" outlineLevel="0" collapsed="false">
      <c r="A103" s="6" t="s">
        <v>825</v>
      </c>
      <c r="B103" s="6" t="n">
        <v>3</v>
      </c>
      <c r="C103" s="6" t="s">
        <v>406</v>
      </c>
      <c r="D103" s="6" t="s">
        <v>567</v>
      </c>
      <c r="E103" s="6" t="s">
        <v>826</v>
      </c>
      <c r="F103" s="6" t="s">
        <v>827</v>
      </c>
      <c r="G103" s="6" t="s">
        <v>828</v>
      </c>
      <c r="H103" s="6" t="s">
        <v>185</v>
      </c>
      <c r="I103" s="6" t="s">
        <v>829</v>
      </c>
      <c r="J103" s="9" t="n">
        <f aca="false">IF(LEFT(I103,1)="(","",LEN(I103))</f>
        <v>47</v>
      </c>
      <c r="K103" s="6" t="s">
        <v>830</v>
      </c>
      <c r="L103" s="8"/>
      <c r="M103" s="6" t="str">
        <f aca="false">IF(L103="","",LEN(L103))</f>
        <v/>
      </c>
      <c r="N103" s="6" t="s">
        <v>573</v>
      </c>
      <c r="O103" s="6" t="s">
        <v>574</v>
      </c>
      <c r="P103" s="6" t="s">
        <v>575</v>
      </c>
      <c r="Q103" s="8" t="s">
        <v>416</v>
      </c>
      <c r="R103" s="6" t="s">
        <v>119</v>
      </c>
      <c r="S103" s="6" t="s">
        <v>831</v>
      </c>
      <c r="T103" s="10" t="n">
        <f aca="false">SUMIF('Seed Keywords'!$C:$C,E103,'Seed Keywords'!$E:$E)+SUMIF('Seed Keywords'!$C:$C,E103&amp;"#*",'Seed Keywords'!$E:$E)</f>
        <v>0</v>
      </c>
      <c r="U103" s="6" t="s">
        <v>735</v>
      </c>
    </row>
    <row r="104" customFormat="false" ht="23.85" hidden="false" customHeight="false" outlineLevel="0" collapsed="false">
      <c r="A104" s="6" t="s">
        <v>832</v>
      </c>
      <c r="B104" s="6" t="n">
        <v>3</v>
      </c>
      <c r="C104" s="6" t="s">
        <v>406</v>
      </c>
      <c r="D104" s="6" t="s">
        <v>567</v>
      </c>
      <c r="E104" s="6" t="s">
        <v>833</v>
      </c>
      <c r="F104" s="6" t="s">
        <v>834</v>
      </c>
      <c r="G104" s="6" t="s">
        <v>835</v>
      </c>
      <c r="H104" s="6" t="s">
        <v>185</v>
      </c>
      <c r="I104" s="6" t="s">
        <v>836</v>
      </c>
      <c r="J104" s="9" t="n">
        <f aca="false">IF(LEFT(I104,1)="(","",LEN(I104))</f>
        <v>44</v>
      </c>
      <c r="K104" s="6" t="s">
        <v>837</v>
      </c>
      <c r="L104" s="8"/>
      <c r="M104" s="6" t="str">
        <f aca="false">IF(L104="","",LEN(L104))</f>
        <v/>
      </c>
      <c r="N104" s="6" t="s">
        <v>573</v>
      </c>
      <c r="O104" s="6" t="s">
        <v>574</v>
      </c>
      <c r="P104" s="6" t="s">
        <v>575</v>
      </c>
      <c r="Q104" s="8" t="s">
        <v>416</v>
      </c>
      <c r="R104" s="6" t="s">
        <v>119</v>
      </c>
      <c r="S104" s="6" t="s">
        <v>838</v>
      </c>
      <c r="T104" s="10" t="n">
        <f aca="false">SUMIF('Seed Keywords'!$C:$C,E104,'Seed Keywords'!$E:$E)+SUMIF('Seed Keywords'!$C:$C,E104&amp;"#*",'Seed Keywords'!$E:$E)</f>
        <v>0</v>
      </c>
      <c r="U104" s="6" t="s">
        <v>735</v>
      </c>
    </row>
    <row r="105" customFormat="false" ht="23.85" hidden="false" customHeight="false" outlineLevel="0" collapsed="false">
      <c r="A105" s="6" t="s">
        <v>839</v>
      </c>
      <c r="B105" s="6" t="n">
        <v>3</v>
      </c>
      <c r="C105" s="6" t="s">
        <v>406</v>
      </c>
      <c r="D105" s="6" t="s">
        <v>567</v>
      </c>
      <c r="E105" s="6" t="s">
        <v>840</v>
      </c>
      <c r="F105" s="6" t="s">
        <v>841</v>
      </c>
      <c r="G105" s="6" t="s">
        <v>842</v>
      </c>
      <c r="H105" s="6" t="s">
        <v>185</v>
      </c>
      <c r="I105" s="6" t="s">
        <v>843</v>
      </c>
      <c r="J105" s="9" t="n">
        <f aca="false">IF(LEFT(I105,1)="(","",LEN(I105))</f>
        <v>57</v>
      </c>
      <c r="K105" s="6" t="s">
        <v>844</v>
      </c>
      <c r="L105" s="8"/>
      <c r="M105" s="6" t="str">
        <f aca="false">IF(L105="","",LEN(L105))</f>
        <v/>
      </c>
      <c r="N105" s="6" t="s">
        <v>573</v>
      </c>
      <c r="O105" s="6" t="s">
        <v>574</v>
      </c>
      <c r="P105" s="6" t="s">
        <v>575</v>
      </c>
      <c r="Q105" s="8" t="s">
        <v>416</v>
      </c>
      <c r="R105" s="6" t="s">
        <v>119</v>
      </c>
      <c r="S105" s="6" t="s">
        <v>845</v>
      </c>
      <c r="T105" s="10" t="n">
        <f aca="false">SUMIF('Seed Keywords'!$C:$C,E105,'Seed Keywords'!$E:$E)+SUMIF('Seed Keywords'!$C:$C,E105&amp;"#*",'Seed Keywords'!$E:$E)</f>
        <v>0</v>
      </c>
      <c r="U105" s="6" t="s">
        <v>735</v>
      </c>
    </row>
    <row r="106" customFormat="false" ht="23.85" hidden="false" customHeight="false" outlineLevel="0" collapsed="false">
      <c r="A106" s="6" t="s">
        <v>846</v>
      </c>
      <c r="B106" s="6" t="n">
        <v>3</v>
      </c>
      <c r="C106" s="6" t="s">
        <v>406</v>
      </c>
      <c r="D106" s="6" t="s">
        <v>567</v>
      </c>
      <c r="E106" s="6" t="s">
        <v>847</v>
      </c>
      <c r="F106" s="6" t="s">
        <v>848</v>
      </c>
      <c r="G106" s="6" t="s">
        <v>849</v>
      </c>
      <c r="H106" s="6" t="s">
        <v>185</v>
      </c>
      <c r="I106" s="6" t="s">
        <v>850</v>
      </c>
      <c r="J106" s="9" t="n">
        <f aca="false">IF(LEFT(I106,1)="(","",LEN(I106))</f>
        <v>48</v>
      </c>
      <c r="K106" s="6" t="s">
        <v>851</v>
      </c>
      <c r="L106" s="8"/>
      <c r="M106" s="6" t="str">
        <f aca="false">IF(L106="","",LEN(L106))</f>
        <v/>
      </c>
      <c r="N106" s="6" t="s">
        <v>573</v>
      </c>
      <c r="O106" s="6" t="s">
        <v>574</v>
      </c>
      <c r="P106" s="6" t="s">
        <v>575</v>
      </c>
      <c r="Q106" s="8" t="s">
        <v>416</v>
      </c>
      <c r="R106" s="6" t="s">
        <v>119</v>
      </c>
      <c r="S106" s="6" t="s">
        <v>852</v>
      </c>
      <c r="T106" s="10" t="n">
        <f aca="false">SUMIF('Seed Keywords'!$C:$C,E106,'Seed Keywords'!$E:$E)+SUMIF('Seed Keywords'!$C:$C,E106&amp;"#*",'Seed Keywords'!$E:$E)</f>
        <v>0</v>
      </c>
      <c r="U106" s="6" t="s">
        <v>735</v>
      </c>
    </row>
    <row r="107" customFormat="false" ht="23.85" hidden="false" customHeight="false" outlineLevel="0" collapsed="false">
      <c r="A107" s="6" t="s">
        <v>853</v>
      </c>
      <c r="B107" s="6" t="n">
        <v>3</v>
      </c>
      <c r="C107" s="6" t="s">
        <v>406</v>
      </c>
      <c r="D107" s="6" t="s">
        <v>567</v>
      </c>
      <c r="E107" s="6" t="s">
        <v>854</v>
      </c>
      <c r="F107" s="6" t="s">
        <v>855</v>
      </c>
      <c r="G107" s="6" t="s">
        <v>856</v>
      </c>
      <c r="H107" s="6" t="s">
        <v>185</v>
      </c>
      <c r="I107" s="6" t="s">
        <v>857</v>
      </c>
      <c r="J107" s="9" t="n">
        <f aca="false">IF(LEFT(I107,1)="(","",LEN(I107))</f>
        <v>45</v>
      </c>
      <c r="K107" s="6" t="s">
        <v>858</v>
      </c>
      <c r="L107" s="8"/>
      <c r="M107" s="6" t="str">
        <f aca="false">IF(L107="","",LEN(L107))</f>
        <v/>
      </c>
      <c r="N107" s="6" t="s">
        <v>573</v>
      </c>
      <c r="O107" s="6" t="s">
        <v>574</v>
      </c>
      <c r="P107" s="6" t="s">
        <v>575</v>
      </c>
      <c r="Q107" s="8" t="s">
        <v>416</v>
      </c>
      <c r="R107" s="6" t="s">
        <v>119</v>
      </c>
      <c r="S107" s="6" t="s">
        <v>859</v>
      </c>
      <c r="T107" s="10" t="n">
        <f aca="false">SUMIF('Seed Keywords'!$C:$C,E107,'Seed Keywords'!$E:$E)+SUMIF('Seed Keywords'!$C:$C,E107&amp;"#*",'Seed Keywords'!$E:$E)</f>
        <v>0</v>
      </c>
      <c r="U107" s="6" t="s">
        <v>735</v>
      </c>
    </row>
    <row r="108" customFormat="false" ht="23.85" hidden="false" customHeight="false" outlineLevel="0" collapsed="false">
      <c r="A108" s="6" t="s">
        <v>860</v>
      </c>
      <c r="B108" s="6" t="n">
        <v>3</v>
      </c>
      <c r="C108" s="6" t="s">
        <v>406</v>
      </c>
      <c r="D108" s="6" t="s">
        <v>567</v>
      </c>
      <c r="E108" s="6" t="s">
        <v>861</v>
      </c>
      <c r="F108" s="6" t="s">
        <v>862</v>
      </c>
      <c r="G108" s="6" t="s">
        <v>863</v>
      </c>
      <c r="H108" s="6" t="s">
        <v>185</v>
      </c>
      <c r="I108" s="6" t="s">
        <v>864</v>
      </c>
      <c r="J108" s="9" t="n">
        <f aca="false">IF(LEFT(I108,1)="(","",LEN(I108))</f>
        <v>58</v>
      </c>
      <c r="K108" s="6" t="s">
        <v>865</v>
      </c>
      <c r="L108" s="8"/>
      <c r="M108" s="6" t="str">
        <f aca="false">IF(L108="","",LEN(L108))</f>
        <v/>
      </c>
      <c r="N108" s="6" t="s">
        <v>573</v>
      </c>
      <c r="O108" s="6" t="s">
        <v>574</v>
      </c>
      <c r="P108" s="6" t="s">
        <v>575</v>
      </c>
      <c r="Q108" s="8" t="s">
        <v>416</v>
      </c>
      <c r="R108" s="6" t="s">
        <v>119</v>
      </c>
      <c r="S108" s="6" t="s">
        <v>866</v>
      </c>
      <c r="T108" s="10" t="n">
        <f aca="false">SUMIF('Seed Keywords'!$C:$C,E108,'Seed Keywords'!$E:$E)+SUMIF('Seed Keywords'!$C:$C,E108&amp;"#*",'Seed Keywords'!$E:$E)</f>
        <v>0</v>
      </c>
      <c r="U108" s="6" t="s">
        <v>735</v>
      </c>
    </row>
    <row r="109" customFormat="false" ht="23.85" hidden="false" customHeight="false" outlineLevel="0" collapsed="false">
      <c r="A109" s="6" t="s">
        <v>867</v>
      </c>
      <c r="B109" s="6" t="n">
        <v>3</v>
      </c>
      <c r="C109" s="6" t="s">
        <v>406</v>
      </c>
      <c r="D109" s="6" t="s">
        <v>567</v>
      </c>
      <c r="E109" s="6" t="s">
        <v>868</v>
      </c>
      <c r="F109" s="6" t="s">
        <v>869</v>
      </c>
      <c r="G109" s="6" t="s">
        <v>870</v>
      </c>
      <c r="H109" s="6" t="s">
        <v>185</v>
      </c>
      <c r="I109" s="6" t="s">
        <v>871</v>
      </c>
      <c r="J109" s="9" t="n">
        <f aca="false">IF(LEFT(I109,1)="(","",LEN(I109))</f>
        <v>55</v>
      </c>
      <c r="K109" s="6" t="s">
        <v>872</v>
      </c>
      <c r="L109" s="8"/>
      <c r="M109" s="6" t="str">
        <f aca="false">IF(L109="","",LEN(L109))</f>
        <v/>
      </c>
      <c r="N109" s="6" t="s">
        <v>573</v>
      </c>
      <c r="O109" s="6" t="s">
        <v>574</v>
      </c>
      <c r="P109" s="6" t="s">
        <v>575</v>
      </c>
      <c r="Q109" s="8" t="s">
        <v>416</v>
      </c>
      <c r="R109" s="6" t="s">
        <v>119</v>
      </c>
      <c r="S109" s="6" t="s">
        <v>873</v>
      </c>
      <c r="T109" s="10" t="n">
        <f aca="false">SUMIF('Seed Keywords'!$C:$C,E109,'Seed Keywords'!$E:$E)+SUMIF('Seed Keywords'!$C:$C,E109&amp;"#*",'Seed Keywords'!$E:$E)</f>
        <v>0</v>
      </c>
      <c r="U109" s="6" t="s">
        <v>735</v>
      </c>
    </row>
    <row r="110" customFormat="false" ht="23.85" hidden="false" customHeight="false" outlineLevel="0" collapsed="false">
      <c r="A110" s="6" t="s">
        <v>874</v>
      </c>
      <c r="B110" s="6" t="n">
        <v>3</v>
      </c>
      <c r="C110" s="6" t="s">
        <v>406</v>
      </c>
      <c r="D110" s="6" t="s">
        <v>567</v>
      </c>
      <c r="E110" s="6" t="s">
        <v>875</v>
      </c>
      <c r="F110" s="6" t="s">
        <v>876</v>
      </c>
      <c r="G110" s="6" t="s">
        <v>877</v>
      </c>
      <c r="H110" s="6" t="s">
        <v>185</v>
      </c>
      <c r="I110" s="6" t="s">
        <v>878</v>
      </c>
      <c r="J110" s="9" t="n">
        <f aca="false">IF(LEFT(I110,1)="(","",LEN(I110))</f>
        <v>52</v>
      </c>
      <c r="K110" s="6" t="s">
        <v>879</v>
      </c>
      <c r="L110" s="8"/>
      <c r="M110" s="6" t="str">
        <f aca="false">IF(L110="","",LEN(L110))</f>
        <v/>
      </c>
      <c r="N110" s="6" t="s">
        <v>573</v>
      </c>
      <c r="O110" s="6" t="s">
        <v>574</v>
      </c>
      <c r="P110" s="6" t="s">
        <v>575</v>
      </c>
      <c r="Q110" s="8" t="s">
        <v>416</v>
      </c>
      <c r="R110" s="6" t="s">
        <v>119</v>
      </c>
      <c r="S110" s="6" t="s">
        <v>880</v>
      </c>
      <c r="T110" s="10" t="n">
        <f aca="false">SUMIF('Seed Keywords'!$C:$C,E110,'Seed Keywords'!$E:$E)+SUMIF('Seed Keywords'!$C:$C,E110&amp;"#*",'Seed Keywords'!$E:$E)</f>
        <v>0</v>
      </c>
      <c r="U110" s="6" t="s">
        <v>735</v>
      </c>
    </row>
    <row r="111" customFormat="false" ht="23.85" hidden="false" customHeight="false" outlineLevel="0" collapsed="false">
      <c r="A111" s="6" t="s">
        <v>881</v>
      </c>
      <c r="B111" s="6" t="n">
        <v>3</v>
      </c>
      <c r="C111" s="6" t="s">
        <v>406</v>
      </c>
      <c r="D111" s="6" t="s">
        <v>567</v>
      </c>
      <c r="E111" s="6" t="s">
        <v>882</v>
      </c>
      <c r="F111" s="6" t="s">
        <v>883</v>
      </c>
      <c r="G111" s="6" t="s">
        <v>884</v>
      </c>
      <c r="H111" s="6" t="s">
        <v>185</v>
      </c>
      <c r="I111" s="6" t="s">
        <v>885</v>
      </c>
      <c r="J111" s="9" t="n">
        <f aca="false">IF(LEFT(I111,1)="(","",LEN(I111))</f>
        <v>46</v>
      </c>
      <c r="K111" s="6" t="s">
        <v>885</v>
      </c>
      <c r="L111" s="8"/>
      <c r="M111" s="6" t="str">
        <f aca="false">IF(L111="","",LEN(L111))</f>
        <v/>
      </c>
      <c r="N111" s="6" t="s">
        <v>573</v>
      </c>
      <c r="O111" s="6" t="s">
        <v>574</v>
      </c>
      <c r="P111" s="6" t="s">
        <v>575</v>
      </c>
      <c r="Q111" s="8" t="s">
        <v>416</v>
      </c>
      <c r="R111" s="6" t="s">
        <v>119</v>
      </c>
      <c r="S111" s="6" t="s">
        <v>886</v>
      </c>
      <c r="T111" s="10" t="n">
        <f aca="false">SUMIF('Seed Keywords'!$C:$C,E111,'Seed Keywords'!$E:$E)+SUMIF('Seed Keywords'!$C:$C,E111&amp;"#*",'Seed Keywords'!$E:$E)</f>
        <v>0</v>
      </c>
      <c r="U111" s="6" t="s">
        <v>735</v>
      </c>
    </row>
    <row r="112" customFormat="false" ht="23.85" hidden="false" customHeight="false" outlineLevel="0" collapsed="false">
      <c r="A112" s="6" t="s">
        <v>887</v>
      </c>
      <c r="B112" s="6" t="n">
        <v>3</v>
      </c>
      <c r="C112" s="6" t="s">
        <v>406</v>
      </c>
      <c r="D112" s="6" t="s">
        <v>567</v>
      </c>
      <c r="E112" s="6" t="s">
        <v>888</v>
      </c>
      <c r="F112" s="6" t="s">
        <v>889</v>
      </c>
      <c r="G112" s="6" t="s">
        <v>890</v>
      </c>
      <c r="H112" s="6" t="s">
        <v>185</v>
      </c>
      <c r="I112" s="6" t="s">
        <v>891</v>
      </c>
      <c r="J112" s="9" t="n">
        <f aca="false">IF(LEFT(I112,1)="(","",LEN(I112))</f>
        <v>53</v>
      </c>
      <c r="K112" s="6" t="s">
        <v>892</v>
      </c>
      <c r="L112" s="8"/>
      <c r="M112" s="6" t="str">
        <f aca="false">IF(L112="","",LEN(L112))</f>
        <v/>
      </c>
      <c r="N112" s="6" t="s">
        <v>573</v>
      </c>
      <c r="O112" s="6" t="s">
        <v>574</v>
      </c>
      <c r="P112" s="6" t="s">
        <v>575</v>
      </c>
      <c r="Q112" s="8" t="s">
        <v>416</v>
      </c>
      <c r="R112" s="6" t="s">
        <v>119</v>
      </c>
      <c r="S112" s="6" t="s">
        <v>893</v>
      </c>
      <c r="T112" s="10" t="n">
        <f aca="false">SUMIF('Seed Keywords'!$C:$C,E112,'Seed Keywords'!$E:$E)+SUMIF('Seed Keywords'!$C:$C,E112&amp;"#*",'Seed Keywords'!$E:$E)</f>
        <v>0</v>
      </c>
      <c r="U112" s="6" t="s">
        <v>735</v>
      </c>
    </row>
    <row r="113" customFormat="false" ht="23.85" hidden="false" customHeight="false" outlineLevel="0" collapsed="false">
      <c r="A113" s="6" t="s">
        <v>894</v>
      </c>
      <c r="B113" s="6" t="n">
        <v>3</v>
      </c>
      <c r="C113" s="6" t="s">
        <v>406</v>
      </c>
      <c r="D113" s="6" t="s">
        <v>567</v>
      </c>
      <c r="E113" s="6" t="s">
        <v>895</v>
      </c>
      <c r="F113" s="6" t="s">
        <v>896</v>
      </c>
      <c r="G113" s="6" t="s">
        <v>897</v>
      </c>
      <c r="H113" s="6" t="s">
        <v>185</v>
      </c>
      <c r="I113" s="6" t="s">
        <v>898</v>
      </c>
      <c r="J113" s="9" t="n">
        <f aca="false">IF(LEFT(I113,1)="(","",LEN(I113))</f>
        <v>50</v>
      </c>
      <c r="K113" s="6" t="s">
        <v>899</v>
      </c>
      <c r="L113" s="8"/>
      <c r="M113" s="6" t="str">
        <f aca="false">IF(L113="","",LEN(L113))</f>
        <v/>
      </c>
      <c r="N113" s="6" t="s">
        <v>573</v>
      </c>
      <c r="O113" s="6" t="s">
        <v>574</v>
      </c>
      <c r="P113" s="6" t="s">
        <v>575</v>
      </c>
      <c r="Q113" s="8" t="s">
        <v>416</v>
      </c>
      <c r="R113" s="6" t="s">
        <v>119</v>
      </c>
      <c r="S113" s="6" t="s">
        <v>900</v>
      </c>
      <c r="T113" s="10" t="n">
        <f aca="false">SUMIF('Seed Keywords'!$C:$C,E113,'Seed Keywords'!$E:$E)+SUMIF('Seed Keywords'!$C:$C,E113&amp;"#*",'Seed Keywords'!$E:$E)</f>
        <v>0</v>
      </c>
      <c r="U113" s="6" t="s">
        <v>735</v>
      </c>
    </row>
    <row r="114" customFormat="false" ht="23.85" hidden="false" customHeight="false" outlineLevel="0" collapsed="false">
      <c r="A114" s="6" t="s">
        <v>901</v>
      </c>
      <c r="B114" s="6" t="n">
        <v>3</v>
      </c>
      <c r="C114" s="6" t="s">
        <v>406</v>
      </c>
      <c r="D114" s="6" t="s">
        <v>567</v>
      </c>
      <c r="E114" s="6" t="s">
        <v>902</v>
      </c>
      <c r="F114" s="6" t="s">
        <v>903</v>
      </c>
      <c r="G114" s="6" t="s">
        <v>904</v>
      </c>
      <c r="H114" s="6" t="s">
        <v>185</v>
      </c>
      <c r="I114" s="6" t="s">
        <v>905</v>
      </c>
      <c r="J114" s="9" t="n">
        <f aca="false">IF(LEFT(I114,1)="(","",LEN(I114))</f>
        <v>44</v>
      </c>
      <c r="K114" s="6" t="s">
        <v>905</v>
      </c>
      <c r="L114" s="8"/>
      <c r="M114" s="6" t="str">
        <f aca="false">IF(L114="","",LEN(L114))</f>
        <v/>
      </c>
      <c r="N114" s="6" t="s">
        <v>573</v>
      </c>
      <c r="O114" s="6" t="s">
        <v>574</v>
      </c>
      <c r="P114" s="6" t="s">
        <v>575</v>
      </c>
      <c r="Q114" s="8" t="s">
        <v>416</v>
      </c>
      <c r="R114" s="6" t="s">
        <v>119</v>
      </c>
      <c r="S114" s="6" t="s">
        <v>906</v>
      </c>
      <c r="T114" s="10" t="n">
        <f aca="false">SUMIF('Seed Keywords'!$C:$C,E114,'Seed Keywords'!$E:$E)+SUMIF('Seed Keywords'!$C:$C,E114&amp;"#*",'Seed Keywords'!$E:$E)</f>
        <v>0</v>
      </c>
      <c r="U114" s="6" t="s">
        <v>735</v>
      </c>
    </row>
    <row r="115" customFormat="false" ht="23.85" hidden="false" customHeight="false" outlineLevel="0" collapsed="false">
      <c r="A115" s="6" t="s">
        <v>907</v>
      </c>
      <c r="B115" s="6" t="n">
        <v>3</v>
      </c>
      <c r="C115" s="6" t="s">
        <v>406</v>
      </c>
      <c r="D115" s="6" t="s">
        <v>567</v>
      </c>
      <c r="E115" s="6" t="s">
        <v>908</v>
      </c>
      <c r="F115" s="6" t="s">
        <v>909</v>
      </c>
      <c r="G115" s="6" t="s">
        <v>910</v>
      </c>
      <c r="H115" s="6" t="s">
        <v>185</v>
      </c>
      <c r="I115" s="6" t="s">
        <v>911</v>
      </c>
      <c r="J115" s="9" t="n">
        <f aca="false">IF(LEFT(I115,1)="(","",LEN(I115))</f>
        <v>48</v>
      </c>
      <c r="K115" s="6" t="s">
        <v>912</v>
      </c>
      <c r="L115" s="8"/>
      <c r="M115" s="6" t="str">
        <f aca="false">IF(L115="","",LEN(L115))</f>
        <v/>
      </c>
      <c r="N115" s="6" t="s">
        <v>573</v>
      </c>
      <c r="O115" s="6" t="s">
        <v>574</v>
      </c>
      <c r="P115" s="6" t="s">
        <v>575</v>
      </c>
      <c r="Q115" s="8" t="s">
        <v>416</v>
      </c>
      <c r="R115" s="6" t="s">
        <v>119</v>
      </c>
      <c r="S115" s="6" t="s">
        <v>913</v>
      </c>
      <c r="T115" s="10" t="n">
        <f aca="false">SUMIF('Seed Keywords'!$C:$C,E115,'Seed Keywords'!$E:$E)+SUMIF('Seed Keywords'!$C:$C,E115&amp;"#*",'Seed Keywords'!$E:$E)</f>
        <v>0</v>
      </c>
      <c r="U115" s="6" t="s">
        <v>735</v>
      </c>
    </row>
    <row r="116" customFormat="false" ht="23.85" hidden="false" customHeight="false" outlineLevel="0" collapsed="false">
      <c r="A116" s="6" t="s">
        <v>914</v>
      </c>
      <c r="B116" s="6" t="n">
        <v>3</v>
      </c>
      <c r="C116" s="6" t="s">
        <v>406</v>
      </c>
      <c r="D116" s="6" t="s">
        <v>567</v>
      </c>
      <c r="E116" s="6" t="s">
        <v>915</v>
      </c>
      <c r="F116" s="6" t="s">
        <v>916</v>
      </c>
      <c r="G116" s="6" t="s">
        <v>917</v>
      </c>
      <c r="H116" s="6" t="s">
        <v>185</v>
      </c>
      <c r="I116" s="6" t="s">
        <v>918</v>
      </c>
      <c r="J116" s="9" t="n">
        <f aca="false">IF(LEFT(I116,1)="(","",LEN(I116))</f>
        <v>45</v>
      </c>
      <c r="K116" s="6" t="s">
        <v>919</v>
      </c>
      <c r="L116" s="8"/>
      <c r="M116" s="6" t="str">
        <f aca="false">IF(L116="","",LEN(L116))</f>
        <v/>
      </c>
      <c r="N116" s="6" t="s">
        <v>573</v>
      </c>
      <c r="O116" s="6" t="s">
        <v>574</v>
      </c>
      <c r="P116" s="6" t="s">
        <v>575</v>
      </c>
      <c r="Q116" s="8" t="s">
        <v>416</v>
      </c>
      <c r="R116" s="6" t="s">
        <v>119</v>
      </c>
      <c r="S116" s="6" t="s">
        <v>920</v>
      </c>
      <c r="T116" s="10" t="n">
        <f aca="false">SUMIF('Seed Keywords'!$C:$C,E116,'Seed Keywords'!$E:$E)+SUMIF('Seed Keywords'!$C:$C,E116&amp;"#*",'Seed Keywords'!$E:$E)</f>
        <v>0</v>
      </c>
      <c r="U116" s="6" t="s">
        <v>735</v>
      </c>
    </row>
    <row r="117" customFormat="false" ht="23.85" hidden="false" customHeight="false" outlineLevel="0" collapsed="false">
      <c r="A117" s="6" t="s">
        <v>921</v>
      </c>
      <c r="B117" s="6" t="n">
        <v>3</v>
      </c>
      <c r="C117" s="6" t="s">
        <v>406</v>
      </c>
      <c r="D117" s="6" t="s">
        <v>567</v>
      </c>
      <c r="E117" s="6" t="s">
        <v>922</v>
      </c>
      <c r="F117" s="6" t="s">
        <v>923</v>
      </c>
      <c r="G117" s="6" t="s">
        <v>924</v>
      </c>
      <c r="H117" s="6" t="s">
        <v>185</v>
      </c>
      <c r="I117" s="6" t="s">
        <v>925</v>
      </c>
      <c r="J117" s="9" t="n">
        <f aca="false">IF(LEFT(I117,1)="(","",LEN(I117))</f>
        <v>58</v>
      </c>
      <c r="K117" s="6" t="s">
        <v>926</v>
      </c>
      <c r="L117" s="8"/>
      <c r="M117" s="6" t="str">
        <f aca="false">IF(L117="","",LEN(L117))</f>
        <v/>
      </c>
      <c r="N117" s="6" t="s">
        <v>573</v>
      </c>
      <c r="O117" s="6" t="s">
        <v>574</v>
      </c>
      <c r="P117" s="6" t="s">
        <v>575</v>
      </c>
      <c r="Q117" s="8" t="s">
        <v>416</v>
      </c>
      <c r="R117" s="6" t="s">
        <v>119</v>
      </c>
      <c r="S117" s="6" t="s">
        <v>927</v>
      </c>
      <c r="T117" s="10" t="n">
        <f aca="false">SUMIF('Seed Keywords'!$C:$C,E117,'Seed Keywords'!$E:$E)+SUMIF('Seed Keywords'!$C:$C,E117&amp;"#*",'Seed Keywords'!$E:$E)</f>
        <v>0</v>
      </c>
      <c r="U117" s="6" t="s">
        <v>735</v>
      </c>
    </row>
    <row r="118" customFormat="false" ht="23.85" hidden="false" customHeight="false" outlineLevel="0" collapsed="false">
      <c r="A118" s="6" t="s">
        <v>928</v>
      </c>
      <c r="B118" s="6" t="n">
        <v>3</v>
      </c>
      <c r="C118" s="6" t="s">
        <v>406</v>
      </c>
      <c r="D118" s="6" t="s">
        <v>567</v>
      </c>
      <c r="E118" s="6" t="s">
        <v>929</v>
      </c>
      <c r="F118" s="6" t="s">
        <v>930</v>
      </c>
      <c r="G118" s="6" t="s">
        <v>931</v>
      </c>
      <c r="H118" s="6" t="s">
        <v>185</v>
      </c>
      <c r="I118" s="6" t="s">
        <v>932</v>
      </c>
      <c r="J118" s="9" t="n">
        <f aca="false">IF(LEFT(I118,1)="(","",LEN(I118))</f>
        <v>53</v>
      </c>
      <c r="K118" s="6" t="s">
        <v>933</v>
      </c>
      <c r="L118" s="8"/>
      <c r="M118" s="6" t="str">
        <f aca="false">IF(L118="","",LEN(L118))</f>
        <v/>
      </c>
      <c r="N118" s="6" t="s">
        <v>573</v>
      </c>
      <c r="O118" s="6" t="s">
        <v>574</v>
      </c>
      <c r="P118" s="6" t="s">
        <v>575</v>
      </c>
      <c r="Q118" s="8" t="s">
        <v>416</v>
      </c>
      <c r="R118" s="6" t="s">
        <v>119</v>
      </c>
      <c r="S118" s="6" t="s">
        <v>934</v>
      </c>
      <c r="T118" s="10" t="n">
        <f aca="false">SUMIF('Seed Keywords'!$C:$C,E118,'Seed Keywords'!$E:$E)+SUMIF('Seed Keywords'!$C:$C,E118&amp;"#*",'Seed Keywords'!$E:$E)</f>
        <v>0</v>
      </c>
      <c r="U118" s="6" t="s">
        <v>735</v>
      </c>
    </row>
    <row r="119" customFormat="false" ht="23.85" hidden="false" customHeight="false" outlineLevel="0" collapsed="false">
      <c r="A119" s="6" t="s">
        <v>935</v>
      </c>
      <c r="B119" s="6" t="n">
        <v>3</v>
      </c>
      <c r="C119" s="6" t="s">
        <v>406</v>
      </c>
      <c r="D119" s="6" t="s">
        <v>567</v>
      </c>
      <c r="E119" s="6" t="s">
        <v>936</v>
      </c>
      <c r="F119" s="6" t="s">
        <v>937</v>
      </c>
      <c r="G119" s="6" t="s">
        <v>938</v>
      </c>
      <c r="H119" s="6" t="s">
        <v>185</v>
      </c>
      <c r="I119" s="6" t="s">
        <v>939</v>
      </c>
      <c r="J119" s="9" t="n">
        <f aca="false">IF(LEFT(I119,1)="(","",LEN(I119))</f>
        <v>50</v>
      </c>
      <c r="K119" s="6" t="s">
        <v>940</v>
      </c>
      <c r="L119" s="8"/>
      <c r="M119" s="6" t="str">
        <f aca="false">IF(L119="","",LEN(L119))</f>
        <v/>
      </c>
      <c r="N119" s="6" t="s">
        <v>573</v>
      </c>
      <c r="O119" s="6" t="s">
        <v>574</v>
      </c>
      <c r="P119" s="6" t="s">
        <v>575</v>
      </c>
      <c r="Q119" s="8" t="s">
        <v>416</v>
      </c>
      <c r="R119" s="6" t="s">
        <v>119</v>
      </c>
      <c r="S119" s="6" t="s">
        <v>941</v>
      </c>
      <c r="T119" s="10" t="n">
        <f aca="false">SUMIF('Seed Keywords'!$C:$C,E119,'Seed Keywords'!$E:$E)+SUMIF('Seed Keywords'!$C:$C,E119&amp;"#*",'Seed Keywords'!$E:$E)</f>
        <v>0</v>
      </c>
      <c r="U119" s="6" t="s">
        <v>735</v>
      </c>
    </row>
    <row r="120" customFormat="false" ht="23.85" hidden="false" customHeight="false" outlineLevel="0" collapsed="false">
      <c r="A120" s="6" t="s">
        <v>942</v>
      </c>
      <c r="B120" s="6" t="n">
        <v>3</v>
      </c>
      <c r="C120" s="6" t="s">
        <v>406</v>
      </c>
      <c r="D120" s="6" t="s">
        <v>567</v>
      </c>
      <c r="E120" s="6" t="s">
        <v>943</v>
      </c>
      <c r="F120" s="6" t="s">
        <v>944</v>
      </c>
      <c r="G120" s="6" t="s">
        <v>945</v>
      </c>
      <c r="H120" s="6" t="s">
        <v>185</v>
      </c>
      <c r="I120" s="6" t="s">
        <v>946</v>
      </c>
      <c r="J120" s="9" t="n">
        <f aca="false">IF(LEFT(I120,1)="(","",LEN(I120))</f>
        <v>44</v>
      </c>
      <c r="K120" s="6" t="s">
        <v>946</v>
      </c>
      <c r="L120" s="8"/>
      <c r="M120" s="6" t="str">
        <f aca="false">IF(L120="","",LEN(L120))</f>
        <v/>
      </c>
      <c r="N120" s="6" t="s">
        <v>573</v>
      </c>
      <c r="O120" s="6" t="s">
        <v>574</v>
      </c>
      <c r="P120" s="6" t="s">
        <v>575</v>
      </c>
      <c r="Q120" s="8" t="s">
        <v>416</v>
      </c>
      <c r="R120" s="6" t="s">
        <v>119</v>
      </c>
      <c r="S120" s="6" t="s">
        <v>947</v>
      </c>
      <c r="T120" s="10" t="n">
        <f aca="false">SUMIF('Seed Keywords'!$C:$C,E120,'Seed Keywords'!$E:$E)+SUMIF('Seed Keywords'!$C:$C,E120&amp;"#*",'Seed Keywords'!$E:$E)</f>
        <v>0</v>
      </c>
      <c r="U120" s="6" t="s">
        <v>735</v>
      </c>
    </row>
    <row r="121" customFormat="false" ht="23.85" hidden="false" customHeight="false" outlineLevel="0" collapsed="false">
      <c r="A121" s="6" t="s">
        <v>948</v>
      </c>
      <c r="B121" s="6" t="n">
        <v>3</v>
      </c>
      <c r="C121" s="6" t="s">
        <v>406</v>
      </c>
      <c r="D121" s="6" t="s">
        <v>567</v>
      </c>
      <c r="E121" s="6" t="s">
        <v>949</v>
      </c>
      <c r="F121" s="6" t="s">
        <v>950</v>
      </c>
      <c r="G121" s="6" t="s">
        <v>951</v>
      </c>
      <c r="H121" s="6" t="s">
        <v>185</v>
      </c>
      <c r="I121" s="6" t="s">
        <v>952</v>
      </c>
      <c r="J121" s="9" t="n">
        <f aca="false">IF(LEFT(I121,1)="(","",LEN(I121))</f>
        <v>50</v>
      </c>
      <c r="K121" s="6" t="s">
        <v>953</v>
      </c>
      <c r="L121" s="8"/>
      <c r="M121" s="6" t="str">
        <f aca="false">IF(L121="","",LEN(L121))</f>
        <v/>
      </c>
      <c r="N121" s="6" t="s">
        <v>573</v>
      </c>
      <c r="O121" s="6" t="s">
        <v>574</v>
      </c>
      <c r="P121" s="6" t="s">
        <v>575</v>
      </c>
      <c r="Q121" s="8" t="s">
        <v>416</v>
      </c>
      <c r="R121" s="6" t="s">
        <v>119</v>
      </c>
      <c r="S121" s="6" t="s">
        <v>954</v>
      </c>
      <c r="T121" s="10" t="n">
        <f aca="false">SUMIF('Seed Keywords'!$C:$C,E121,'Seed Keywords'!$E:$E)+SUMIF('Seed Keywords'!$C:$C,E121&amp;"#*",'Seed Keywords'!$E:$E)</f>
        <v>0</v>
      </c>
      <c r="U121" s="6" t="s">
        <v>735</v>
      </c>
    </row>
    <row r="122" customFormat="false" ht="23.85" hidden="false" customHeight="false" outlineLevel="0" collapsed="false">
      <c r="A122" s="6" t="s">
        <v>955</v>
      </c>
      <c r="B122" s="6" t="n">
        <v>3</v>
      </c>
      <c r="C122" s="6" t="s">
        <v>406</v>
      </c>
      <c r="D122" s="6" t="s">
        <v>567</v>
      </c>
      <c r="E122" s="6" t="s">
        <v>956</v>
      </c>
      <c r="F122" s="6" t="s">
        <v>957</v>
      </c>
      <c r="G122" s="6" t="s">
        <v>958</v>
      </c>
      <c r="H122" s="6" t="s">
        <v>185</v>
      </c>
      <c r="I122" s="6" t="s">
        <v>959</v>
      </c>
      <c r="J122" s="9" t="n">
        <f aca="false">IF(LEFT(I122,1)="(","",LEN(I122))</f>
        <v>47</v>
      </c>
      <c r="K122" s="6" t="s">
        <v>960</v>
      </c>
      <c r="L122" s="8"/>
      <c r="M122" s="6" t="str">
        <f aca="false">IF(L122="","",LEN(L122))</f>
        <v/>
      </c>
      <c r="N122" s="6" t="s">
        <v>573</v>
      </c>
      <c r="O122" s="6" t="s">
        <v>574</v>
      </c>
      <c r="P122" s="6" t="s">
        <v>575</v>
      </c>
      <c r="Q122" s="8" t="s">
        <v>416</v>
      </c>
      <c r="R122" s="6" t="s">
        <v>119</v>
      </c>
      <c r="S122" s="6" t="s">
        <v>961</v>
      </c>
      <c r="T122" s="10" t="n">
        <f aca="false">SUMIF('Seed Keywords'!$C:$C,E122,'Seed Keywords'!$E:$E)+SUMIF('Seed Keywords'!$C:$C,E122&amp;"#*",'Seed Keywords'!$E:$E)</f>
        <v>0</v>
      </c>
      <c r="U122" s="6" t="s">
        <v>735</v>
      </c>
    </row>
    <row r="123" customFormat="false" ht="23.85" hidden="false" customHeight="false" outlineLevel="0" collapsed="false">
      <c r="A123" s="6" t="s">
        <v>962</v>
      </c>
      <c r="B123" s="6" t="n">
        <v>3</v>
      </c>
      <c r="C123" s="6" t="s">
        <v>406</v>
      </c>
      <c r="D123" s="6" t="s">
        <v>567</v>
      </c>
      <c r="E123" s="6" t="s">
        <v>963</v>
      </c>
      <c r="F123" s="6" t="s">
        <v>964</v>
      </c>
      <c r="G123" s="6" t="s">
        <v>965</v>
      </c>
      <c r="H123" s="6" t="s">
        <v>185</v>
      </c>
      <c r="I123" s="6" t="s">
        <v>966</v>
      </c>
      <c r="J123" s="9" t="n">
        <f aca="false">IF(LEFT(I123,1)="(","",LEN(I123))</f>
        <v>60</v>
      </c>
      <c r="K123" s="6" t="s">
        <v>967</v>
      </c>
      <c r="L123" s="8"/>
      <c r="M123" s="6" t="str">
        <f aca="false">IF(L123="","",LEN(L123))</f>
        <v/>
      </c>
      <c r="N123" s="6" t="s">
        <v>573</v>
      </c>
      <c r="O123" s="6" t="s">
        <v>574</v>
      </c>
      <c r="P123" s="6" t="s">
        <v>575</v>
      </c>
      <c r="Q123" s="8" t="s">
        <v>416</v>
      </c>
      <c r="R123" s="6" t="s">
        <v>119</v>
      </c>
      <c r="S123" s="6" t="s">
        <v>968</v>
      </c>
      <c r="T123" s="10" t="n">
        <f aca="false">SUMIF('Seed Keywords'!$C:$C,E123,'Seed Keywords'!$E:$E)+SUMIF('Seed Keywords'!$C:$C,E123&amp;"#*",'Seed Keywords'!$E:$E)</f>
        <v>0</v>
      </c>
      <c r="U123" s="6" t="s">
        <v>735</v>
      </c>
    </row>
    <row r="124" customFormat="false" ht="23.85" hidden="false" customHeight="false" outlineLevel="0" collapsed="false">
      <c r="A124" s="6" t="s">
        <v>969</v>
      </c>
      <c r="B124" s="6" t="n">
        <v>3</v>
      </c>
      <c r="C124" s="6" t="s">
        <v>406</v>
      </c>
      <c r="D124" s="6" t="s">
        <v>567</v>
      </c>
      <c r="E124" s="6" t="s">
        <v>970</v>
      </c>
      <c r="F124" s="6" t="s">
        <v>971</v>
      </c>
      <c r="G124" s="6" t="s">
        <v>972</v>
      </c>
      <c r="H124" s="6" t="s">
        <v>185</v>
      </c>
      <c r="I124" s="6" t="s">
        <v>973</v>
      </c>
      <c r="J124" s="9" t="n">
        <f aca="false">IF(LEFT(I124,1)="(","",LEN(I124))</f>
        <v>53</v>
      </c>
      <c r="K124" s="6" t="s">
        <v>974</v>
      </c>
      <c r="L124" s="8"/>
      <c r="M124" s="6" t="str">
        <f aca="false">IF(L124="","",LEN(L124))</f>
        <v/>
      </c>
      <c r="N124" s="6" t="s">
        <v>573</v>
      </c>
      <c r="O124" s="6" t="s">
        <v>574</v>
      </c>
      <c r="P124" s="6" t="s">
        <v>575</v>
      </c>
      <c r="Q124" s="8" t="s">
        <v>416</v>
      </c>
      <c r="R124" s="6" t="s">
        <v>119</v>
      </c>
      <c r="S124" s="6" t="s">
        <v>975</v>
      </c>
      <c r="T124" s="10" t="n">
        <f aca="false">SUMIF('Seed Keywords'!$C:$C,E124,'Seed Keywords'!$E:$E)+SUMIF('Seed Keywords'!$C:$C,E124&amp;"#*",'Seed Keywords'!$E:$E)</f>
        <v>0</v>
      </c>
      <c r="U124" s="6" t="s">
        <v>735</v>
      </c>
    </row>
    <row r="125" customFormat="false" ht="23.85" hidden="false" customHeight="false" outlineLevel="0" collapsed="false">
      <c r="A125" s="6" t="s">
        <v>976</v>
      </c>
      <c r="B125" s="6" t="n">
        <v>3</v>
      </c>
      <c r="C125" s="6" t="s">
        <v>406</v>
      </c>
      <c r="D125" s="6" t="s">
        <v>567</v>
      </c>
      <c r="E125" s="6" t="s">
        <v>977</v>
      </c>
      <c r="F125" s="6" t="s">
        <v>978</v>
      </c>
      <c r="G125" s="6" t="s">
        <v>979</v>
      </c>
      <c r="H125" s="6" t="s">
        <v>185</v>
      </c>
      <c r="I125" s="6" t="s">
        <v>980</v>
      </c>
      <c r="J125" s="9" t="n">
        <f aca="false">IF(LEFT(I125,1)="(","",LEN(I125))</f>
        <v>50</v>
      </c>
      <c r="K125" s="6" t="s">
        <v>981</v>
      </c>
      <c r="L125" s="8"/>
      <c r="M125" s="6" t="str">
        <f aca="false">IF(L125="","",LEN(L125))</f>
        <v/>
      </c>
      <c r="N125" s="6" t="s">
        <v>573</v>
      </c>
      <c r="O125" s="6" t="s">
        <v>574</v>
      </c>
      <c r="P125" s="6" t="s">
        <v>575</v>
      </c>
      <c r="Q125" s="8" t="s">
        <v>416</v>
      </c>
      <c r="R125" s="6" t="s">
        <v>119</v>
      </c>
      <c r="S125" s="6" t="s">
        <v>982</v>
      </c>
      <c r="T125" s="10" t="n">
        <f aca="false">SUMIF('Seed Keywords'!$C:$C,E125,'Seed Keywords'!$E:$E)+SUMIF('Seed Keywords'!$C:$C,E125&amp;"#*",'Seed Keywords'!$E:$E)</f>
        <v>0</v>
      </c>
      <c r="U125" s="6" t="s">
        <v>735</v>
      </c>
    </row>
    <row r="126" customFormat="false" ht="23.85" hidden="false" customHeight="false" outlineLevel="0" collapsed="false">
      <c r="A126" s="6" t="s">
        <v>983</v>
      </c>
      <c r="B126" s="6" t="n">
        <v>3</v>
      </c>
      <c r="C126" s="6" t="s">
        <v>406</v>
      </c>
      <c r="D126" s="6" t="s">
        <v>567</v>
      </c>
      <c r="E126" s="6" t="s">
        <v>984</v>
      </c>
      <c r="F126" s="6" t="s">
        <v>985</v>
      </c>
      <c r="G126" s="6" t="s">
        <v>986</v>
      </c>
      <c r="H126" s="6" t="s">
        <v>185</v>
      </c>
      <c r="I126" s="6" t="s">
        <v>987</v>
      </c>
      <c r="J126" s="9" t="n">
        <f aca="false">IF(LEFT(I126,1)="(","",LEN(I126))</f>
        <v>44</v>
      </c>
      <c r="K126" s="6" t="s">
        <v>987</v>
      </c>
      <c r="L126" s="8"/>
      <c r="M126" s="6" t="str">
        <f aca="false">IF(L126="","",LEN(L126))</f>
        <v/>
      </c>
      <c r="N126" s="6" t="s">
        <v>573</v>
      </c>
      <c r="O126" s="6" t="s">
        <v>574</v>
      </c>
      <c r="P126" s="6" t="s">
        <v>575</v>
      </c>
      <c r="Q126" s="8" t="s">
        <v>416</v>
      </c>
      <c r="R126" s="6" t="s">
        <v>119</v>
      </c>
      <c r="S126" s="6" t="s">
        <v>988</v>
      </c>
      <c r="T126" s="10" t="n">
        <f aca="false">SUMIF('Seed Keywords'!$C:$C,E126,'Seed Keywords'!$E:$E)+SUMIF('Seed Keywords'!$C:$C,E126&amp;"#*",'Seed Keywords'!$E:$E)</f>
        <v>0</v>
      </c>
      <c r="U126" s="6" t="s">
        <v>735</v>
      </c>
    </row>
  </sheetData>
  <autoFilter ref="A1:U126"/>
  <conditionalFormatting sqref="J2:J126">
    <cfRule type="expression" priority="2" aboveAverage="0" equalAverage="0" bottom="0" percent="0" rank="0" text="" dxfId="6">
      <formula>AND(ISNUMBER(J2),J2&gt;60)</formula>
    </cfRule>
  </conditionalFormatting>
  <conditionalFormatting sqref="M2:M126">
    <cfRule type="expression" priority="3" aboveAverage="0" equalAverage="0" bottom="0" percent="0" rank="0" text="" dxfId="6">
      <formula>AND(ISNUMBER(M2),M2&gt;155)</formula>
    </cfRule>
  </conditionalFormatting>
  <conditionalFormatting sqref="A2:K126">
    <cfRule type="expression" priority="4" aboveAverage="0" equalAverage="0" bottom="0" percent="0" rank="0" text="" dxfId="7">
      <formula>$C2="Gated"</formula>
    </cfRule>
    <cfRule type="expression" priority="5" aboveAverage="0" equalAverage="0" bottom="0" percent="0" rank="0" text="" dxfId="8">
      <formula>$C2="Section"</formula>
    </cfRule>
  </conditionalFormatting>
  <dataValidations count="3">
    <dataValidation allowBlank="false" errorStyle="stop" operator="between" showDropDown="false" showErrorMessage="false" showInputMessage="false" sqref="C2:C126" type="list">
      <formula1>"Live,Draft,Planned,Section,Gated,Skip"</formula1>
      <formula2>0</formula2>
    </dataValidation>
    <dataValidation allowBlank="false" errorStyle="stop" operator="between" showDropDown="false" showErrorMessage="false" showInputMessage="false" sqref="Q2:Q126" type="list">
      <formula1>"Y,N,?"</formula1>
      <formula2>0</formula2>
    </dataValidation>
    <dataValidation allowBlank="false" errorStyle="stop" operator="between" showDropDown="false" showErrorMessage="false" showInputMessage="false" sqref="B2:B12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36"/>
    <col collapsed="false" customWidth="true" hidden="false" outlineLevel="0" max="12" min="12" style="0" width="42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5" t="s">
        <v>989</v>
      </c>
      <c r="B1" s="5" t="s">
        <v>88</v>
      </c>
      <c r="C1" s="5" t="s">
        <v>990</v>
      </c>
      <c r="D1" s="5" t="s">
        <v>991</v>
      </c>
      <c r="E1" s="5" t="s">
        <v>107</v>
      </c>
      <c r="F1" s="5" t="s">
        <v>173</v>
      </c>
      <c r="G1" s="5" t="s">
        <v>145</v>
      </c>
      <c r="H1" s="5" t="s">
        <v>249</v>
      </c>
      <c r="I1" s="5" t="s">
        <v>406</v>
      </c>
      <c r="J1" s="5" t="s">
        <v>992</v>
      </c>
      <c r="K1" s="5" t="s">
        <v>993</v>
      </c>
      <c r="L1" s="5" t="s">
        <v>103</v>
      </c>
      <c r="M1" s="5" t="s">
        <v>994</v>
      </c>
    </row>
    <row r="2" customFormat="false" ht="46.25" hidden="false" customHeight="false" outlineLevel="0" collapsed="false">
      <c r="A2" s="6" t="n">
        <v>0</v>
      </c>
      <c r="B2" s="6" t="s">
        <v>108</v>
      </c>
      <c r="C2" s="6" t="s">
        <v>109</v>
      </c>
      <c r="D2" s="6" t="n">
        <f aca="false">COUNTIF('Page Map'!$D$2:$D$126,B2)</f>
        <v>1</v>
      </c>
      <c r="E2" s="6" t="n">
        <f aca="false">COUNTIFS('Page Map'!$D$2:$D$126,B2,'Page Map'!$C$2:$C$126,"Live")</f>
        <v>1</v>
      </c>
      <c r="F2" s="6" t="n">
        <f aca="false">COUNTIFS('Page Map'!$D$2:$D$126,B2,'Page Map'!$C$2:$C$126,"Draft")</f>
        <v>0</v>
      </c>
      <c r="G2" s="6" t="n">
        <f aca="false">COUNTIFS('Page Map'!$D$2:$D$126,B2,'Page Map'!$C$2:$C$126,"Planned")</f>
        <v>0</v>
      </c>
      <c r="H2" s="6" t="n">
        <f aca="false">COUNTIFS('Page Map'!$D$2:$D$126,B2,'Page Map'!$C$2:$C$126,"Section")</f>
        <v>0</v>
      </c>
      <c r="I2" s="6" t="n">
        <f aca="false">COUNTIFS('Page Map'!$D$2:$D$126,B2,'Page Map'!$C$2:$C$126,"Gated")</f>
        <v>0</v>
      </c>
      <c r="J2" s="6" t="n">
        <f aca="false">COUNTIFS('Page Map'!$D$2:$D$126,B2,'Page Map'!$B$2:$B$126,1,'Page Map'!$C$2:$C$126,"&lt;&gt;Gated",'Page Map'!$C$2:$C$126,"&lt;&gt;Section")</f>
        <v>1</v>
      </c>
      <c r="K2" s="6" t="s">
        <v>110</v>
      </c>
      <c r="L2" s="6" t="s">
        <v>995</v>
      </c>
      <c r="M2" s="6" t="s">
        <v>116</v>
      </c>
    </row>
    <row r="3" customFormat="false" ht="23.85" hidden="false" customHeight="false" outlineLevel="0" collapsed="false">
      <c r="A3" s="6" t="n">
        <v>1</v>
      </c>
      <c r="B3" s="6" t="s">
        <v>123</v>
      </c>
      <c r="C3" s="6" t="s">
        <v>996</v>
      </c>
      <c r="D3" s="6" t="n">
        <f aca="false">COUNTIF('Page Map'!$D$2:$D$126,B3)</f>
        <v>5</v>
      </c>
      <c r="E3" s="6" t="n">
        <f aca="false">COUNTIFS('Page Map'!$D$2:$D$126,B3,'Page Map'!$C$2:$C$126,"Live")</f>
        <v>2</v>
      </c>
      <c r="F3" s="6" t="n">
        <f aca="false">COUNTIFS('Page Map'!$D$2:$D$126,B3,'Page Map'!$C$2:$C$126,"Draft")</f>
        <v>0</v>
      </c>
      <c r="G3" s="6" t="n">
        <f aca="false">COUNTIFS('Page Map'!$D$2:$D$126,B3,'Page Map'!$C$2:$C$126,"Planned")</f>
        <v>3</v>
      </c>
      <c r="H3" s="6" t="n">
        <f aca="false">COUNTIFS('Page Map'!$D$2:$D$126,B3,'Page Map'!$C$2:$C$126,"Section")</f>
        <v>0</v>
      </c>
      <c r="I3" s="6" t="n">
        <f aca="false">COUNTIFS('Page Map'!$D$2:$D$126,B3,'Page Map'!$C$2:$C$126,"Gated")</f>
        <v>0</v>
      </c>
      <c r="J3" s="6" t="n">
        <f aca="false">COUNTIFS('Page Map'!$D$2:$D$126,B3,'Page Map'!$B$2:$B$126,1,'Page Map'!$C$2:$C$126,"&lt;&gt;Gated",'Page Map'!$C$2:$C$126,"&lt;&gt;Section")</f>
        <v>4</v>
      </c>
      <c r="K3" s="6" t="s">
        <v>997</v>
      </c>
      <c r="L3" s="6" t="s">
        <v>998</v>
      </c>
      <c r="M3" s="6" t="s">
        <v>999</v>
      </c>
    </row>
    <row r="4" customFormat="false" ht="23.85" hidden="false" customHeight="false" outlineLevel="0" collapsed="false">
      <c r="A4" s="6" t="n">
        <v>1</v>
      </c>
      <c r="B4" s="6" t="s">
        <v>163</v>
      </c>
      <c r="C4" s="6" t="s">
        <v>1000</v>
      </c>
      <c r="D4" s="6" t="n">
        <f aca="false">COUNTIF('Page Map'!$D$2:$D$126,B4)</f>
        <v>6</v>
      </c>
      <c r="E4" s="6" t="n">
        <f aca="false">COUNTIFS('Page Map'!$D$2:$D$126,B4,'Page Map'!$C$2:$C$126,"Live")</f>
        <v>1</v>
      </c>
      <c r="F4" s="6" t="n">
        <f aca="false">COUNTIFS('Page Map'!$D$2:$D$126,B4,'Page Map'!$C$2:$C$126,"Draft")</f>
        <v>1</v>
      </c>
      <c r="G4" s="6" t="n">
        <f aca="false">COUNTIFS('Page Map'!$D$2:$D$126,B4,'Page Map'!$C$2:$C$126,"Planned")</f>
        <v>4</v>
      </c>
      <c r="H4" s="6" t="n">
        <f aca="false">COUNTIFS('Page Map'!$D$2:$D$126,B4,'Page Map'!$C$2:$C$126,"Section")</f>
        <v>0</v>
      </c>
      <c r="I4" s="6" t="n">
        <f aca="false">COUNTIFS('Page Map'!$D$2:$D$126,B4,'Page Map'!$C$2:$C$126,"Gated")</f>
        <v>0</v>
      </c>
      <c r="J4" s="6" t="n">
        <f aca="false">COUNTIFS('Page Map'!$D$2:$D$126,B4,'Page Map'!$B$2:$B$126,1,'Page Map'!$C$2:$C$126,"&lt;&gt;Gated",'Page Map'!$C$2:$C$126,"&lt;&gt;Section")</f>
        <v>2</v>
      </c>
      <c r="K4" s="6" t="s">
        <v>1001</v>
      </c>
      <c r="L4" s="6" t="s">
        <v>1002</v>
      </c>
      <c r="M4" s="6" t="s">
        <v>169</v>
      </c>
    </row>
    <row r="5" customFormat="false" ht="23.85" hidden="false" customHeight="false" outlineLevel="0" collapsed="false">
      <c r="A5" s="6" t="n">
        <v>1</v>
      </c>
      <c r="B5" s="6" t="s">
        <v>181</v>
      </c>
      <c r="C5" s="6" t="s">
        <v>1003</v>
      </c>
      <c r="D5" s="6" t="n">
        <f aca="false">COUNTIF('Page Map'!$D$2:$D$126,B5)</f>
        <v>13</v>
      </c>
      <c r="E5" s="6" t="n">
        <f aca="false">COUNTIFS('Page Map'!$D$2:$D$126,B5,'Page Map'!$C$2:$C$126,"Live")</f>
        <v>0</v>
      </c>
      <c r="F5" s="6" t="n">
        <f aca="false">COUNTIFS('Page Map'!$D$2:$D$126,B5,'Page Map'!$C$2:$C$126,"Draft")</f>
        <v>0</v>
      </c>
      <c r="G5" s="6" t="n">
        <f aca="false">COUNTIFS('Page Map'!$D$2:$D$126,B5,'Page Map'!$C$2:$C$126,"Planned")</f>
        <v>12</v>
      </c>
      <c r="H5" s="6" t="n">
        <f aca="false">COUNTIFS('Page Map'!$D$2:$D$126,B5,'Page Map'!$C$2:$C$126,"Section")</f>
        <v>0</v>
      </c>
      <c r="I5" s="6" t="n">
        <f aca="false">COUNTIFS('Page Map'!$D$2:$D$126,B5,'Page Map'!$C$2:$C$126,"Gated")</f>
        <v>1</v>
      </c>
      <c r="J5" s="6" t="n">
        <f aca="false">COUNTIFS('Page Map'!$D$2:$D$126,B5,'Page Map'!$B$2:$B$126,1,'Page Map'!$C$2:$C$126,"&lt;&gt;Gated",'Page Map'!$C$2:$C$126,"&lt;&gt;Section")</f>
        <v>7</v>
      </c>
      <c r="K5" s="6" t="s">
        <v>1004</v>
      </c>
      <c r="L5" s="6" t="s">
        <v>1005</v>
      </c>
      <c r="M5" s="6" t="s">
        <v>189</v>
      </c>
    </row>
    <row r="6" customFormat="false" ht="15" hidden="false" customHeight="false" outlineLevel="0" collapsed="false">
      <c r="A6" s="6" t="n">
        <v>1</v>
      </c>
      <c r="B6" s="6" t="s">
        <v>407</v>
      </c>
      <c r="C6" s="6" t="s">
        <v>1006</v>
      </c>
      <c r="D6" s="6" t="n">
        <f aca="false">COUNTIF('Page Map'!$D$2:$D$126,B6)</f>
        <v>3</v>
      </c>
      <c r="E6" s="6" t="n">
        <f aca="false">COUNTIFS('Page Map'!$D$2:$D$126,B6,'Page Map'!$C$2:$C$126,"Live")</f>
        <v>0</v>
      </c>
      <c r="F6" s="6" t="n">
        <f aca="false">COUNTIFS('Page Map'!$D$2:$D$126,B6,'Page Map'!$C$2:$C$126,"Draft")</f>
        <v>0</v>
      </c>
      <c r="G6" s="6" t="n">
        <f aca="false">COUNTIFS('Page Map'!$D$2:$D$126,B6,'Page Map'!$C$2:$C$126,"Planned")</f>
        <v>0</v>
      </c>
      <c r="H6" s="6" t="n">
        <f aca="false">COUNTIFS('Page Map'!$D$2:$D$126,B6,'Page Map'!$C$2:$C$126,"Section")</f>
        <v>0</v>
      </c>
      <c r="I6" s="6" t="n">
        <f aca="false">COUNTIFS('Page Map'!$D$2:$D$126,B6,'Page Map'!$C$2:$C$126,"Gated")</f>
        <v>3</v>
      </c>
      <c r="J6" s="6" t="n">
        <f aca="false">COUNTIFS('Page Map'!$D$2:$D$126,B6,'Page Map'!$B$2:$B$126,1,'Page Map'!$C$2:$C$126,"&lt;&gt;Gated",'Page Map'!$C$2:$C$126,"&lt;&gt;Section")</f>
        <v>0</v>
      </c>
      <c r="K6" s="6" t="s">
        <v>1004</v>
      </c>
      <c r="L6" s="6" t="s">
        <v>1007</v>
      </c>
      <c r="M6" s="6" t="s">
        <v>414</v>
      </c>
    </row>
    <row r="7" customFormat="false" ht="23.85" hidden="false" customHeight="false" outlineLevel="0" collapsed="false">
      <c r="A7" s="6" t="n">
        <v>1</v>
      </c>
      <c r="B7" s="6" t="s">
        <v>249</v>
      </c>
      <c r="C7" s="6" t="s">
        <v>1008</v>
      </c>
      <c r="D7" s="6" t="n">
        <f aca="false">COUNTIF('Page Map'!$D$2:$D$126,B7)</f>
        <v>18</v>
      </c>
      <c r="E7" s="6" t="n">
        <f aca="false">COUNTIFS('Page Map'!$D$2:$D$126,B7,'Page Map'!$C$2:$C$126,"Live")</f>
        <v>0</v>
      </c>
      <c r="F7" s="6" t="n">
        <f aca="false">COUNTIFS('Page Map'!$D$2:$D$126,B7,'Page Map'!$C$2:$C$126,"Draft")</f>
        <v>0</v>
      </c>
      <c r="G7" s="6" t="n">
        <f aca="false">COUNTIFS('Page Map'!$D$2:$D$126,B7,'Page Map'!$C$2:$C$126,"Planned")</f>
        <v>0</v>
      </c>
      <c r="H7" s="6" t="n">
        <f aca="false">COUNTIFS('Page Map'!$D$2:$D$126,B7,'Page Map'!$C$2:$C$126,"Section")</f>
        <v>18</v>
      </c>
      <c r="I7" s="6" t="n">
        <f aca="false">COUNTIFS('Page Map'!$D$2:$D$126,B7,'Page Map'!$C$2:$C$126,"Gated")</f>
        <v>0</v>
      </c>
      <c r="J7" s="6" t="n">
        <f aca="false">COUNTIFS('Page Map'!$D$2:$D$126,B7,'Page Map'!$B$2:$B$126,1,'Page Map'!$C$2:$C$126,"&lt;&gt;Gated",'Page Map'!$C$2:$C$126,"&lt;&gt;Section")</f>
        <v>0</v>
      </c>
      <c r="K7" s="6" t="s">
        <v>1009</v>
      </c>
      <c r="L7" s="6" t="s">
        <v>1010</v>
      </c>
      <c r="M7" s="6" t="s">
        <v>256</v>
      </c>
    </row>
    <row r="8" customFormat="false" ht="35.05" hidden="false" customHeight="false" outlineLevel="0" collapsed="false">
      <c r="A8" s="6" t="n">
        <v>2</v>
      </c>
      <c r="B8" s="6" t="s">
        <v>261</v>
      </c>
      <c r="C8" s="6" t="s">
        <v>1011</v>
      </c>
      <c r="D8" s="6" t="n">
        <f aca="false">COUNTIF('Page Map'!$D$2:$D$126,B8)</f>
        <v>13</v>
      </c>
      <c r="E8" s="6" t="n">
        <f aca="false">COUNTIFS('Page Map'!$D$2:$D$126,B8,'Page Map'!$C$2:$C$126,"Live")</f>
        <v>0</v>
      </c>
      <c r="F8" s="6" t="n">
        <f aca="false">COUNTIFS('Page Map'!$D$2:$D$126,B8,'Page Map'!$C$2:$C$126,"Draft")</f>
        <v>0</v>
      </c>
      <c r="G8" s="6" t="n">
        <f aca="false">COUNTIFS('Page Map'!$D$2:$D$126,B8,'Page Map'!$C$2:$C$126,"Planned")</f>
        <v>2</v>
      </c>
      <c r="H8" s="6" t="n">
        <f aca="false">COUNTIFS('Page Map'!$D$2:$D$126,B8,'Page Map'!$C$2:$C$126,"Section")</f>
        <v>0</v>
      </c>
      <c r="I8" s="6" t="n">
        <f aca="false">COUNTIFS('Page Map'!$D$2:$D$126,B8,'Page Map'!$C$2:$C$126,"Gated")</f>
        <v>11</v>
      </c>
      <c r="J8" s="6" t="n">
        <f aca="false">COUNTIFS('Page Map'!$D$2:$D$126,B8,'Page Map'!$B$2:$B$126,1,'Page Map'!$C$2:$C$126,"&lt;&gt;Gated",'Page Map'!$C$2:$C$126,"&lt;&gt;Section")</f>
        <v>2</v>
      </c>
      <c r="K8" s="6" t="s">
        <v>1012</v>
      </c>
      <c r="L8" s="6" t="s">
        <v>1013</v>
      </c>
      <c r="M8" s="6" t="s">
        <v>268</v>
      </c>
    </row>
    <row r="9" customFormat="false" ht="23.85" hidden="false" customHeight="false" outlineLevel="0" collapsed="false">
      <c r="A9" s="6" t="n">
        <v>2</v>
      </c>
      <c r="B9" s="6" t="s">
        <v>280</v>
      </c>
      <c r="C9" s="6" t="s">
        <v>1014</v>
      </c>
      <c r="D9" s="6" t="n">
        <f aca="false">COUNTIF('Page Map'!$D$2:$D$126,B9)</f>
        <v>10</v>
      </c>
      <c r="E9" s="6" t="n">
        <f aca="false">COUNTIFS('Page Map'!$D$2:$D$126,B9,'Page Map'!$C$2:$C$126,"Live")</f>
        <v>0</v>
      </c>
      <c r="F9" s="6" t="n">
        <f aca="false">COUNTIFS('Page Map'!$D$2:$D$126,B9,'Page Map'!$C$2:$C$126,"Draft")</f>
        <v>9</v>
      </c>
      <c r="G9" s="6" t="n">
        <f aca="false">COUNTIFS('Page Map'!$D$2:$D$126,B9,'Page Map'!$C$2:$C$126,"Planned")</f>
        <v>0</v>
      </c>
      <c r="H9" s="6" t="n">
        <f aca="false">COUNTIFS('Page Map'!$D$2:$D$126,B9,'Page Map'!$C$2:$C$126,"Section")</f>
        <v>0</v>
      </c>
      <c r="I9" s="6" t="n">
        <f aca="false">COUNTIFS('Page Map'!$D$2:$D$126,B9,'Page Map'!$C$2:$C$126,"Gated")</f>
        <v>1</v>
      </c>
      <c r="J9" s="6" t="n">
        <f aca="false">COUNTIFS('Page Map'!$D$2:$D$126,B9,'Page Map'!$B$2:$B$126,1,'Page Map'!$C$2:$C$126,"&lt;&gt;Gated",'Page Map'!$C$2:$C$126,"&lt;&gt;Section")</f>
        <v>5</v>
      </c>
      <c r="K9" s="6" t="s">
        <v>1015</v>
      </c>
      <c r="L9" s="6" t="s">
        <v>1016</v>
      </c>
      <c r="M9" s="6" t="s">
        <v>287</v>
      </c>
    </row>
    <row r="10" customFormat="false" ht="23.85" hidden="false" customHeight="false" outlineLevel="0" collapsed="false">
      <c r="A10" s="6" t="n">
        <v>2</v>
      </c>
      <c r="B10" s="6" t="s">
        <v>315</v>
      </c>
      <c r="C10" s="6" t="s">
        <v>1017</v>
      </c>
      <c r="D10" s="6" t="n">
        <f aca="false">COUNTIF('Page Map'!$D$2:$D$126,B10)</f>
        <v>14</v>
      </c>
      <c r="E10" s="6" t="n">
        <f aca="false">COUNTIFS('Page Map'!$D$2:$D$126,B10,'Page Map'!$C$2:$C$126,"Live")</f>
        <v>0</v>
      </c>
      <c r="F10" s="6" t="n">
        <f aca="false">COUNTIFS('Page Map'!$D$2:$D$126,B10,'Page Map'!$C$2:$C$126,"Draft")</f>
        <v>0</v>
      </c>
      <c r="G10" s="6" t="n">
        <f aca="false">COUNTIFS('Page Map'!$D$2:$D$126,B10,'Page Map'!$C$2:$C$126,"Planned")</f>
        <v>14</v>
      </c>
      <c r="H10" s="6" t="n">
        <f aca="false">COUNTIFS('Page Map'!$D$2:$D$126,B10,'Page Map'!$C$2:$C$126,"Section")</f>
        <v>0</v>
      </c>
      <c r="I10" s="6" t="n">
        <f aca="false">COUNTIFS('Page Map'!$D$2:$D$126,B10,'Page Map'!$C$2:$C$126,"Gated")</f>
        <v>0</v>
      </c>
      <c r="J10" s="6" t="n">
        <f aca="false">COUNTIFS('Page Map'!$D$2:$D$126,B10,'Page Map'!$B$2:$B$126,1,'Page Map'!$C$2:$C$126,"&lt;&gt;Gated",'Page Map'!$C$2:$C$126,"&lt;&gt;Section")</f>
        <v>1</v>
      </c>
      <c r="K10" s="6" t="s">
        <v>1018</v>
      </c>
      <c r="L10" s="6" t="s">
        <v>1019</v>
      </c>
      <c r="M10" s="6" t="s">
        <v>322</v>
      </c>
    </row>
    <row r="11" customFormat="false" ht="23.85" hidden="false" customHeight="false" outlineLevel="0" collapsed="false">
      <c r="A11" s="6" t="n">
        <v>3</v>
      </c>
      <c r="B11" s="6" t="s">
        <v>567</v>
      </c>
      <c r="C11" s="6" t="s">
        <v>1020</v>
      </c>
      <c r="D11" s="6" t="n">
        <f aca="false">COUNTIF('Page Map'!$D$2:$D$126,B11)</f>
        <v>39</v>
      </c>
      <c r="E11" s="6" t="n">
        <f aca="false">COUNTIFS('Page Map'!$D$2:$D$126,B11,'Page Map'!$C$2:$C$126,"Live")</f>
        <v>0</v>
      </c>
      <c r="F11" s="6" t="n">
        <f aca="false">COUNTIFS('Page Map'!$D$2:$D$126,B11,'Page Map'!$C$2:$C$126,"Draft")</f>
        <v>0</v>
      </c>
      <c r="G11" s="6" t="n">
        <f aca="false">COUNTIFS('Page Map'!$D$2:$D$126,B11,'Page Map'!$C$2:$C$126,"Planned")</f>
        <v>1</v>
      </c>
      <c r="H11" s="6" t="n">
        <f aca="false">COUNTIFS('Page Map'!$D$2:$D$126,B11,'Page Map'!$C$2:$C$126,"Section")</f>
        <v>0</v>
      </c>
      <c r="I11" s="6" t="n">
        <f aca="false">COUNTIFS('Page Map'!$D$2:$D$126,B11,'Page Map'!$C$2:$C$126,"Gated")</f>
        <v>38</v>
      </c>
      <c r="J11" s="6" t="n">
        <f aca="false">COUNTIFS('Page Map'!$D$2:$D$126,B11,'Page Map'!$B$2:$B$126,1,'Page Map'!$C$2:$C$126,"&lt;&gt;Gated",'Page Map'!$C$2:$C$126,"&lt;&gt;Section")</f>
        <v>0</v>
      </c>
      <c r="K11" s="6" t="s">
        <v>1021</v>
      </c>
      <c r="L11" s="6" t="s">
        <v>1022</v>
      </c>
      <c r="M11" s="6" t="s">
        <v>574</v>
      </c>
    </row>
    <row r="12" customFormat="false" ht="23.85" hidden="false" customHeight="false" outlineLevel="0" collapsed="false">
      <c r="A12" s="6" t="n">
        <v>9</v>
      </c>
      <c r="B12" s="6" t="s">
        <v>325</v>
      </c>
      <c r="C12" s="6" t="s">
        <v>1023</v>
      </c>
      <c r="D12" s="6" t="n">
        <f aca="false">COUNTIF('Page Map'!$D$2:$D$126,B12)</f>
        <v>3</v>
      </c>
      <c r="E12" s="6" t="n">
        <f aca="false">COUNTIFS('Page Map'!$D$2:$D$126,B12,'Page Map'!$C$2:$C$126,"Live")</f>
        <v>3</v>
      </c>
      <c r="F12" s="6" t="n">
        <f aca="false">COUNTIFS('Page Map'!$D$2:$D$126,B12,'Page Map'!$C$2:$C$126,"Draft")</f>
        <v>0</v>
      </c>
      <c r="G12" s="6" t="n">
        <f aca="false">COUNTIFS('Page Map'!$D$2:$D$126,B12,'Page Map'!$C$2:$C$126,"Planned")</f>
        <v>0</v>
      </c>
      <c r="H12" s="6" t="n">
        <f aca="false">COUNTIFS('Page Map'!$D$2:$D$126,B12,'Page Map'!$C$2:$C$126,"Section")</f>
        <v>0</v>
      </c>
      <c r="I12" s="6" t="n">
        <f aca="false">COUNTIFS('Page Map'!$D$2:$D$126,B12,'Page Map'!$C$2:$C$126,"Gated")</f>
        <v>0</v>
      </c>
      <c r="J12" s="6" t="n">
        <f aca="false">COUNTIFS('Page Map'!$D$2:$D$126,B12,'Page Map'!$B$2:$B$126,1,'Page Map'!$C$2:$C$126,"&lt;&gt;Gated",'Page Map'!$C$2:$C$126,"&lt;&gt;Section")</f>
        <v>3</v>
      </c>
      <c r="K12" s="6" t="s">
        <v>131</v>
      </c>
      <c r="L12" s="6" t="s">
        <v>131</v>
      </c>
      <c r="M12" s="6" t="s">
        <v>131</v>
      </c>
    </row>
    <row r="13" customFormat="false" ht="15" hidden="false" customHeight="false" outlineLevel="0" collapsed="false">
      <c r="B13" s="11" t="s">
        <v>1024</v>
      </c>
      <c r="D13" s="11" t="n">
        <f aca="false">SUM(D2:D12)</f>
        <v>125</v>
      </c>
      <c r="E13" s="11" t="n">
        <f aca="false">SUM(E2:E12)</f>
        <v>7</v>
      </c>
      <c r="F13" s="11" t="n">
        <f aca="false">SUM(F2:F12)</f>
        <v>10</v>
      </c>
      <c r="G13" s="11" t="n">
        <f aca="false">SUM(G2:G12)</f>
        <v>36</v>
      </c>
      <c r="H13" s="11" t="n">
        <f aca="false">SUM(H2:H12)</f>
        <v>18</v>
      </c>
      <c r="I13" s="11" t="n">
        <f aca="false">SUM(I2:I12)</f>
        <v>54</v>
      </c>
      <c r="J13" s="11" t="n">
        <f aca="false">SUM(J2:J12)</f>
        <v>25</v>
      </c>
    </row>
    <row r="15" customFormat="false" ht="15" hidden="false" customHeight="false" outlineLevel="0" collapsed="false">
      <c r="B15" s="12" t="s">
        <v>1025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9"/>
  </cols>
  <sheetData>
    <row r="1" customFormat="false" ht="30" hidden="false" customHeight="true" outlineLevel="0" collapsed="false">
      <c r="A1" s="5" t="s">
        <v>1026</v>
      </c>
      <c r="B1" s="5" t="s">
        <v>1027</v>
      </c>
      <c r="C1" s="5" t="s">
        <v>1028</v>
      </c>
      <c r="D1" s="5" t="s">
        <v>1029</v>
      </c>
      <c r="E1" s="5" t="s">
        <v>1030</v>
      </c>
      <c r="F1" s="5" t="s">
        <v>1031</v>
      </c>
      <c r="G1" s="5" t="s">
        <v>1032</v>
      </c>
      <c r="H1" s="5" t="s">
        <v>86</v>
      </c>
      <c r="I1" s="5" t="s">
        <v>87</v>
      </c>
    </row>
    <row r="2" customFormat="false" ht="15" hidden="false" customHeight="false" outlineLevel="0" collapsed="false">
      <c r="A2" s="6" t="s">
        <v>1033</v>
      </c>
      <c r="B2" s="6" t="s">
        <v>1034</v>
      </c>
      <c r="C2" s="6" t="s">
        <v>1035</v>
      </c>
      <c r="D2" s="6" t="s">
        <v>183</v>
      </c>
      <c r="E2" s="6" t="s">
        <v>182</v>
      </c>
      <c r="F2" s="8" t="s">
        <v>132</v>
      </c>
      <c r="G2" s="6" t="s">
        <v>1036</v>
      </c>
      <c r="H2" s="6" t="n">
        <v>1</v>
      </c>
      <c r="I2" s="6" t="s">
        <v>145</v>
      </c>
    </row>
    <row r="3" customFormat="false" ht="15" hidden="false" customHeight="false" outlineLevel="0" collapsed="false">
      <c r="A3" s="6" t="s">
        <v>1033</v>
      </c>
      <c r="B3" s="6" t="s">
        <v>1037</v>
      </c>
      <c r="C3" s="6" t="s">
        <v>1038</v>
      </c>
      <c r="D3" s="6" t="s">
        <v>195</v>
      </c>
      <c r="E3" s="6" t="s">
        <v>194</v>
      </c>
      <c r="F3" s="8" t="s">
        <v>132</v>
      </c>
      <c r="G3" s="6" t="s">
        <v>1039</v>
      </c>
      <c r="H3" s="6" t="n">
        <v>1</v>
      </c>
      <c r="I3" s="6" t="s">
        <v>145</v>
      </c>
    </row>
    <row r="4" customFormat="false" ht="15" hidden="false" customHeight="false" outlineLevel="0" collapsed="false">
      <c r="A4" s="6" t="s">
        <v>1033</v>
      </c>
      <c r="B4" s="6" t="s">
        <v>1040</v>
      </c>
      <c r="C4" s="6" t="s">
        <v>1041</v>
      </c>
      <c r="D4" s="6" t="s">
        <v>204</v>
      </c>
      <c r="E4" s="6" t="s">
        <v>203</v>
      </c>
      <c r="F4" s="8" t="s">
        <v>132</v>
      </c>
      <c r="G4" s="6" t="s">
        <v>1042</v>
      </c>
      <c r="H4" s="6" t="n">
        <v>1</v>
      </c>
      <c r="I4" s="6" t="s">
        <v>145</v>
      </c>
    </row>
    <row r="5" customFormat="false" ht="15" hidden="false" customHeight="false" outlineLevel="0" collapsed="false">
      <c r="A5" s="6" t="s">
        <v>1033</v>
      </c>
      <c r="B5" s="6" t="s">
        <v>1043</v>
      </c>
      <c r="C5" s="6" t="s">
        <v>1044</v>
      </c>
      <c r="D5" s="6" t="s">
        <v>213</v>
      </c>
      <c r="E5" s="6" t="s">
        <v>212</v>
      </c>
      <c r="F5" s="8" t="s">
        <v>132</v>
      </c>
      <c r="G5" s="6" t="s">
        <v>1045</v>
      </c>
      <c r="H5" s="6" t="n">
        <v>1</v>
      </c>
      <c r="I5" s="6" t="s">
        <v>145</v>
      </c>
    </row>
    <row r="6" customFormat="false" ht="15" hidden="false" customHeight="false" outlineLevel="0" collapsed="false">
      <c r="A6" s="6" t="s">
        <v>1033</v>
      </c>
      <c r="B6" s="6" t="s">
        <v>1046</v>
      </c>
      <c r="C6" s="6" t="s">
        <v>1047</v>
      </c>
      <c r="D6" s="6" t="s">
        <v>222</v>
      </c>
      <c r="E6" s="6" t="s">
        <v>221</v>
      </c>
      <c r="F6" s="8" t="s">
        <v>132</v>
      </c>
      <c r="G6" s="6" t="s">
        <v>1048</v>
      </c>
      <c r="H6" s="6" t="n">
        <v>1</v>
      </c>
      <c r="I6" s="6" t="s">
        <v>145</v>
      </c>
    </row>
    <row r="7" customFormat="false" ht="15" hidden="false" customHeight="false" outlineLevel="0" collapsed="false">
      <c r="A7" s="6" t="s">
        <v>1033</v>
      </c>
      <c r="B7" s="6" t="s">
        <v>1049</v>
      </c>
      <c r="C7" s="6" t="s">
        <v>1050</v>
      </c>
      <c r="D7" s="6" t="s">
        <v>231</v>
      </c>
      <c r="E7" s="6" t="s">
        <v>230</v>
      </c>
      <c r="F7" s="8" t="s">
        <v>132</v>
      </c>
      <c r="G7" s="6" t="s">
        <v>1051</v>
      </c>
      <c r="H7" s="6" t="n">
        <v>1</v>
      </c>
      <c r="I7" s="6" t="s">
        <v>145</v>
      </c>
    </row>
    <row r="8" customFormat="false" ht="15" hidden="false" customHeight="false" outlineLevel="0" collapsed="false">
      <c r="A8" s="6" t="s">
        <v>1033</v>
      </c>
      <c r="B8" s="6" t="s">
        <v>1052</v>
      </c>
      <c r="C8" s="6" t="s">
        <v>1053</v>
      </c>
      <c r="D8" s="6" t="s">
        <v>240</v>
      </c>
      <c r="E8" s="6" t="s">
        <v>239</v>
      </c>
      <c r="F8" s="8" t="s">
        <v>132</v>
      </c>
      <c r="G8" s="6" t="s">
        <v>1054</v>
      </c>
      <c r="H8" s="6" t="n">
        <v>1</v>
      </c>
      <c r="I8" s="6" t="s">
        <v>145</v>
      </c>
    </row>
    <row r="9" customFormat="false" ht="15" hidden="false" customHeight="false" outlineLevel="0" collapsed="false">
      <c r="A9" s="6" t="s">
        <v>1033</v>
      </c>
      <c r="B9" s="6" t="s">
        <v>1055</v>
      </c>
      <c r="C9" s="6" t="s">
        <v>1056</v>
      </c>
      <c r="D9" s="6" t="s">
        <v>376</v>
      </c>
      <c r="E9" s="6" t="s">
        <v>375</v>
      </c>
      <c r="F9" s="8" t="s">
        <v>132</v>
      </c>
      <c r="G9" s="6" t="s">
        <v>1057</v>
      </c>
      <c r="H9" s="6" t="n">
        <v>2</v>
      </c>
      <c r="I9" s="6" t="s">
        <v>145</v>
      </c>
    </row>
    <row r="10" customFormat="false" ht="15" hidden="false" customHeight="false" outlineLevel="0" collapsed="false">
      <c r="A10" s="6" t="s">
        <v>1033</v>
      </c>
      <c r="B10" s="6" t="s">
        <v>1058</v>
      </c>
      <c r="C10" s="6" t="s">
        <v>1059</v>
      </c>
      <c r="D10" s="6" t="s">
        <v>383</v>
      </c>
      <c r="E10" s="6" t="s">
        <v>382</v>
      </c>
      <c r="F10" s="8" t="s">
        <v>132</v>
      </c>
      <c r="G10" s="6" t="s">
        <v>1060</v>
      </c>
      <c r="H10" s="6" t="n">
        <v>2</v>
      </c>
      <c r="I10" s="6" t="s">
        <v>145</v>
      </c>
    </row>
    <row r="11" customFormat="false" ht="15" hidden="false" customHeight="false" outlineLevel="0" collapsed="false">
      <c r="A11" s="6" t="s">
        <v>1033</v>
      </c>
      <c r="B11" s="6" t="s">
        <v>1061</v>
      </c>
      <c r="C11" s="6" t="s">
        <v>1062</v>
      </c>
      <c r="D11" s="6" t="s">
        <v>392</v>
      </c>
      <c r="E11" s="6" t="s">
        <v>391</v>
      </c>
      <c r="F11" s="8" t="s">
        <v>132</v>
      </c>
      <c r="G11" s="6" t="s">
        <v>1063</v>
      </c>
      <c r="H11" s="6" t="n">
        <v>2</v>
      </c>
      <c r="I11" s="6" t="s">
        <v>145</v>
      </c>
    </row>
    <row r="12" customFormat="false" ht="15" hidden="false" customHeight="false" outlineLevel="0" collapsed="false">
      <c r="A12" s="6" t="s">
        <v>1033</v>
      </c>
      <c r="B12" s="6" t="s">
        <v>1064</v>
      </c>
      <c r="C12" s="6" t="s">
        <v>1065</v>
      </c>
      <c r="D12" s="6" t="s">
        <v>399</v>
      </c>
      <c r="E12" s="6" t="s">
        <v>398</v>
      </c>
      <c r="F12" s="8" t="s">
        <v>118</v>
      </c>
      <c r="G12" s="6" t="s">
        <v>1066</v>
      </c>
      <c r="H12" s="6" t="n">
        <v>2</v>
      </c>
      <c r="I12" s="6" t="s">
        <v>145</v>
      </c>
    </row>
    <row r="13" customFormat="false" ht="23.85" hidden="false" customHeight="false" outlineLevel="0" collapsed="false">
      <c r="A13" s="6" t="s">
        <v>1033</v>
      </c>
      <c r="B13" s="6" t="s">
        <v>1067</v>
      </c>
      <c r="C13" s="6" t="s">
        <v>1068</v>
      </c>
      <c r="D13" s="6" t="s">
        <v>580</v>
      </c>
      <c r="E13" s="6" t="s">
        <v>579</v>
      </c>
      <c r="F13" s="8" t="s">
        <v>118</v>
      </c>
      <c r="G13" s="6" t="s">
        <v>1069</v>
      </c>
      <c r="H13" s="6" t="n">
        <v>3</v>
      </c>
      <c r="I13" s="6" t="s">
        <v>145</v>
      </c>
    </row>
    <row r="14" customFormat="false" ht="15" hidden="false" customHeight="false" outlineLevel="0" collapsed="false">
      <c r="A14" s="6" t="s">
        <v>1033</v>
      </c>
      <c r="B14" s="6" t="s">
        <v>1070</v>
      </c>
      <c r="C14" s="6" t="s">
        <v>1071</v>
      </c>
      <c r="D14" s="6" t="s">
        <v>587</v>
      </c>
      <c r="E14" s="6" t="s">
        <v>586</v>
      </c>
      <c r="F14" s="8" t="s">
        <v>118</v>
      </c>
      <c r="G14" s="6" t="s">
        <v>1072</v>
      </c>
      <c r="H14" s="6" t="n">
        <v>3</v>
      </c>
      <c r="I14" s="6" t="s">
        <v>406</v>
      </c>
    </row>
    <row r="15" customFormat="false" ht="15" hidden="false" customHeight="false" outlineLevel="0" collapsed="false">
      <c r="A15" s="6" t="s">
        <v>1033</v>
      </c>
      <c r="B15" s="6" t="s">
        <v>1073</v>
      </c>
      <c r="C15" s="6" t="s">
        <v>1074</v>
      </c>
      <c r="D15" s="6" t="s">
        <v>251</v>
      </c>
      <c r="E15" s="6" t="s">
        <v>250</v>
      </c>
      <c r="F15" s="8" t="s">
        <v>132</v>
      </c>
      <c r="G15" s="6" t="s">
        <v>1075</v>
      </c>
      <c r="H15" s="6" t="n">
        <v>1</v>
      </c>
      <c r="I15" s="6" t="s">
        <v>249</v>
      </c>
    </row>
    <row r="16" customFormat="false" ht="23.85" hidden="false" customHeight="false" outlineLevel="0" collapsed="false">
      <c r="A16" s="6" t="s">
        <v>1076</v>
      </c>
      <c r="B16" s="6" t="s">
        <v>1077</v>
      </c>
      <c r="C16" s="6" t="s">
        <v>1078</v>
      </c>
      <c r="D16" s="6" t="s">
        <v>409</v>
      </c>
      <c r="E16" s="6" t="s">
        <v>408</v>
      </c>
      <c r="F16" s="8" t="s">
        <v>132</v>
      </c>
      <c r="G16" s="6" t="s">
        <v>1079</v>
      </c>
      <c r="H16" s="6" t="n">
        <v>2</v>
      </c>
      <c r="I16" s="6" t="s">
        <v>406</v>
      </c>
    </row>
    <row r="17" customFormat="false" ht="15" hidden="false" customHeight="false" outlineLevel="0" collapsed="false">
      <c r="A17" s="6" t="s">
        <v>1076</v>
      </c>
      <c r="B17" s="6" t="s">
        <v>1080</v>
      </c>
      <c r="C17" s="6" t="s">
        <v>1081</v>
      </c>
      <c r="D17" s="6" t="s">
        <v>421</v>
      </c>
      <c r="E17" s="6" t="s">
        <v>420</v>
      </c>
      <c r="F17" s="8" t="s">
        <v>132</v>
      </c>
      <c r="G17" s="6" t="s">
        <v>1082</v>
      </c>
      <c r="H17" s="6" t="n">
        <v>2</v>
      </c>
      <c r="I17" s="6" t="s">
        <v>406</v>
      </c>
    </row>
    <row r="18" customFormat="false" ht="15" hidden="false" customHeight="false" outlineLevel="0" collapsed="false">
      <c r="A18" s="6" t="s">
        <v>1076</v>
      </c>
      <c r="B18" s="6" t="s">
        <v>1083</v>
      </c>
      <c r="C18" s="6" t="s">
        <v>1084</v>
      </c>
      <c r="D18" s="6" t="s">
        <v>428</v>
      </c>
      <c r="E18" s="6" t="s">
        <v>427</v>
      </c>
      <c r="F18" s="8" t="s">
        <v>132</v>
      </c>
      <c r="G18" s="6" t="s">
        <v>1085</v>
      </c>
      <c r="H18" s="6" t="n">
        <v>2</v>
      </c>
      <c r="I18" s="6" t="s">
        <v>406</v>
      </c>
    </row>
    <row r="19" customFormat="false" ht="15" hidden="false" customHeight="false" outlineLevel="0" collapsed="false">
      <c r="A19" s="6" t="s">
        <v>1076</v>
      </c>
      <c r="B19" s="6" t="s">
        <v>1086</v>
      </c>
      <c r="C19" s="6" t="s">
        <v>1087</v>
      </c>
      <c r="D19" s="6" t="s">
        <v>435</v>
      </c>
      <c r="E19" s="6" t="s">
        <v>434</v>
      </c>
      <c r="F19" s="8" t="s">
        <v>132</v>
      </c>
      <c r="G19" s="6" t="s">
        <v>1088</v>
      </c>
      <c r="H19" s="6" t="n">
        <v>2</v>
      </c>
      <c r="I19" s="6" t="s">
        <v>249</v>
      </c>
    </row>
    <row r="20" customFormat="false" ht="15" hidden="false" customHeight="false" outlineLevel="0" collapsed="false">
      <c r="A20" s="6" t="s">
        <v>1076</v>
      </c>
      <c r="B20" s="6" t="s">
        <v>1089</v>
      </c>
      <c r="C20" s="6" t="s">
        <v>1090</v>
      </c>
      <c r="D20" s="6" t="s">
        <v>442</v>
      </c>
      <c r="E20" s="6" t="s">
        <v>441</v>
      </c>
      <c r="F20" s="8" t="s">
        <v>132</v>
      </c>
      <c r="G20" s="6" t="s">
        <v>1088</v>
      </c>
      <c r="H20" s="6" t="n">
        <v>2</v>
      </c>
      <c r="I20" s="6" t="s">
        <v>249</v>
      </c>
    </row>
    <row r="21" customFormat="false" ht="15" hidden="false" customHeight="false" outlineLevel="0" collapsed="false">
      <c r="A21" s="6" t="s">
        <v>1076</v>
      </c>
      <c r="B21" s="6" t="s">
        <v>1091</v>
      </c>
      <c r="C21" s="6" t="s">
        <v>1092</v>
      </c>
      <c r="D21" s="6" t="s">
        <v>447</v>
      </c>
      <c r="E21" s="6" t="s">
        <v>446</v>
      </c>
      <c r="F21" s="8" t="s">
        <v>132</v>
      </c>
      <c r="G21" s="6" t="s">
        <v>1093</v>
      </c>
      <c r="H21" s="6" t="n">
        <v>2</v>
      </c>
      <c r="I21" s="6" t="s">
        <v>249</v>
      </c>
    </row>
    <row r="22" customFormat="false" ht="15" hidden="false" customHeight="false" outlineLevel="0" collapsed="false">
      <c r="A22" s="6" t="s">
        <v>1076</v>
      </c>
      <c r="B22" s="6" t="s">
        <v>1094</v>
      </c>
      <c r="C22" s="6" t="s">
        <v>1095</v>
      </c>
      <c r="D22" s="6" t="s">
        <v>453</v>
      </c>
      <c r="E22" s="6" t="s">
        <v>452</v>
      </c>
      <c r="F22" s="8" t="s">
        <v>132</v>
      </c>
      <c r="G22" s="6" t="s">
        <v>1096</v>
      </c>
      <c r="H22" s="6" t="n">
        <v>2</v>
      </c>
      <c r="I22" s="6" t="s">
        <v>249</v>
      </c>
    </row>
    <row r="23" customFormat="false" ht="15" hidden="false" customHeight="false" outlineLevel="0" collapsed="false">
      <c r="A23" s="6" t="s">
        <v>1076</v>
      </c>
      <c r="B23" s="6" t="s">
        <v>1097</v>
      </c>
      <c r="C23" s="6" t="s">
        <v>1098</v>
      </c>
      <c r="D23" s="6" t="s">
        <v>595</v>
      </c>
      <c r="E23" s="6" t="s">
        <v>594</v>
      </c>
      <c r="F23" s="8" t="s">
        <v>118</v>
      </c>
      <c r="G23" s="6" t="s">
        <v>1099</v>
      </c>
      <c r="H23" s="6" t="n">
        <v>3</v>
      </c>
      <c r="I23" s="6" t="s">
        <v>249</v>
      </c>
    </row>
    <row r="24" customFormat="false" ht="15" hidden="false" customHeight="false" outlineLevel="0" collapsed="false">
      <c r="A24" s="6" t="s">
        <v>1076</v>
      </c>
      <c r="B24" s="6" t="s">
        <v>1100</v>
      </c>
      <c r="C24" s="6" t="s">
        <v>1101</v>
      </c>
      <c r="D24" s="6" t="s">
        <v>602</v>
      </c>
      <c r="E24" s="6" t="s">
        <v>601</v>
      </c>
      <c r="F24" s="8" t="s">
        <v>118</v>
      </c>
      <c r="G24" s="6" t="s">
        <v>1102</v>
      </c>
      <c r="H24" s="6" t="n">
        <v>3</v>
      </c>
      <c r="I24" s="6" t="s">
        <v>249</v>
      </c>
    </row>
    <row r="25" customFormat="false" ht="15" hidden="false" customHeight="false" outlineLevel="0" collapsed="false">
      <c r="A25" s="6" t="s">
        <v>1076</v>
      </c>
      <c r="B25" s="6" t="s">
        <v>1103</v>
      </c>
      <c r="C25" s="6" t="s">
        <v>1104</v>
      </c>
      <c r="D25" s="6" t="s">
        <v>459</v>
      </c>
      <c r="E25" s="6" t="s">
        <v>458</v>
      </c>
      <c r="F25" s="8" t="s">
        <v>132</v>
      </c>
      <c r="G25" s="6" t="s">
        <v>1105</v>
      </c>
      <c r="H25" s="6" t="n">
        <v>2</v>
      </c>
      <c r="I25" s="6" t="s">
        <v>249</v>
      </c>
    </row>
    <row r="26" customFormat="false" ht="15" hidden="false" customHeight="false" outlineLevel="0" collapsed="false">
      <c r="A26" s="6" t="s">
        <v>1076</v>
      </c>
      <c r="B26" s="6" t="s">
        <v>1106</v>
      </c>
      <c r="C26" s="6" t="s">
        <v>1107</v>
      </c>
      <c r="D26" s="6" t="s">
        <v>465</v>
      </c>
      <c r="E26" s="6" t="s">
        <v>464</v>
      </c>
      <c r="F26" s="8" t="s">
        <v>132</v>
      </c>
      <c r="G26" s="6" t="s">
        <v>1105</v>
      </c>
      <c r="H26" s="6" t="n">
        <v>2</v>
      </c>
      <c r="I26" s="6" t="s">
        <v>249</v>
      </c>
    </row>
    <row r="27" customFormat="false" ht="15" hidden="false" customHeight="false" outlineLevel="0" collapsed="false">
      <c r="A27" s="6" t="s">
        <v>1076</v>
      </c>
      <c r="B27" s="6" t="s">
        <v>1108</v>
      </c>
      <c r="C27" s="6" t="s">
        <v>1109</v>
      </c>
      <c r="D27" s="6" t="s">
        <v>608</v>
      </c>
      <c r="E27" s="6" t="s">
        <v>607</v>
      </c>
      <c r="F27" s="8" t="s">
        <v>118</v>
      </c>
      <c r="G27" s="6" t="s">
        <v>1110</v>
      </c>
      <c r="H27" s="6" t="n">
        <v>3</v>
      </c>
      <c r="I27" s="6" t="s">
        <v>249</v>
      </c>
    </row>
    <row r="28" customFormat="false" ht="15" hidden="false" customHeight="false" outlineLevel="0" collapsed="false">
      <c r="A28" s="6" t="s">
        <v>1076</v>
      </c>
      <c r="B28" s="6" t="s">
        <v>1111</v>
      </c>
      <c r="C28" s="6" t="s">
        <v>1112</v>
      </c>
      <c r="D28" s="6" t="s">
        <v>614</v>
      </c>
      <c r="E28" s="6" t="s">
        <v>613</v>
      </c>
      <c r="F28" s="8" t="s">
        <v>118</v>
      </c>
      <c r="G28" s="6" t="s">
        <v>1113</v>
      </c>
      <c r="H28" s="6" t="n">
        <v>3</v>
      </c>
      <c r="I28" s="6" t="s">
        <v>249</v>
      </c>
    </row>
    <row r="29" customFormat="false" ht="15" hidden="false" customHeight="false" outlineLevel="0" collapsed="false">
      <c r="A29" s="6" t="s">
        <v>1076</v>
      </c>
      <c r="B29" s="6" t="s">
        <v>1114</v>
      </c>
      <c r="C29" s="6" t="s">
        <v>1115</v>
      </c>
      <c r="D29" s="6" t="s">
        <v>470</v>
      </c>
      <c r="E29" s="6" t="s">
        <v>469</v>
      </c>
      <c r="F29" s="8" t="s">
        <v>132</v>
      </c>
      <c r="G29" s="6" t="s">
        <v>1116</v>
      </c>
      <c r="H29" s="6" t="n">
        <v>2</v>
      </c>
      <c r="I29" s="6" t="s">
        <v>249</v>
      </c>
    </row>
    <row r="30" customFormat="false" ht="15" hidden="false" customHeight="false" outlineLevel="0" collapsed="false">
      <c r="A30" s="6" t="s">
        <v>1076</v>
      </c>
      <c r="B30" s="6" t="s">
        <v>1117</v>
      </c>
      <c r="C30" s="6" t="s">
        <v>1118</v>
      </c>
      <c r="D30" s="6" t="s">
        <v>476</v>
      </c>
      <c r="E30" s="6" t="s">
        <v>475</v>
      </c>
      <c r="F30" s="8" t="s">
        <v>132</v>
      </c>
      <c r="G30" s="6" t="s">
        <v>1116</v>
      </c>
      <c r="H30" s="6" t="n">
        <v>2</v>
      </c>
      <c r="I30" s="6" t="s">
        <v>249</v>
      </c>
    </row>
    <row r="31" customFormat="false" ht="15" hidden="false" customHeight="false" outlineLevel="0" collapsed="false">
      <c r="A31" s="6" t="s">
        <v>1033</v>
      </c>
      <c r="B31" s="6" t="s">
        <v>1119</v>
      </c>
      <c r="C31" s="6" t="s">
        <v>1120</v>
      </c>
      <c r="D31" s="6" t="s">
        <v>620</v>
      </c>
      <c r="E31" s="6" t="s">
        <v>619</v>
      </c>
      <c r="F31" s="8" t="s">
        <v>118</v>
      </c>
      <c r="G31" s="6" t="s">
        <v>1110</v>
      </c>
      <c r="H31" s="6" t="n">
        <v>3</v>
      </c>
      <c r="I31" s="6" t="s">
        <v>249</v>
      </c>
    </row>
    <row r="32" customFormat="false" ht="15" hidden="false" customHeight="false" outlineLevel="0" collapsed="false">
      <c r="A32" s="6" t="s">
        <v>1121</v>
      </c>
      <c r="B32" s="6" t="s">
        <v>1122</v>
      </c>
      <c r="C32" s="6" t="s">
        <v>1123</v>
      </c>
      <c r="D32" s="6" t="s">
        <v>481</v>
      </c>
      <c r="E32" s="6" t="s">
        <v>480</v>
      </c>
      <c r="F32" s="8" t="s">
        <v>132</v>
      </c>
      <c r="G32" s="6" t="s">
        <v>1124</v>
      </c>
      <c r="H32" s="6" t="n">
        <v>2</v>
      </c>
      <c r="I32" s="6" t="s">
        <v>249</v>
      </c>
    </row>
    <row r="33" customFormat="false" ht="15" hidden="false" customHeight="false" outlineLevel="0" collapsed="false">
      <c r="A33" s="6" t="s">
        <v>1121</v>
      </c>
      <c r="B33" s="6" t="s">
        <v>1125</v>
      </c>
      <c r="C33" s="6" t="s">
        <v>1126</v>
      </c>
      <c r="D33" s="6" t="s">
        <v>489</v>
      </c>
      <c r="E33" s="6" t="s">
        <v>488</v>
      </c>
      <c r="F33" s="8" t="s">
        <v>132</v>
      </c>
      <c r="G33" s="6" t="s">
        <v>1127</v>
      </c>
      <c r="H33" s="6" t="n">
        <v>2</v>
      </c>
      <c r="I33" s="6" t="s">
        <v>249</v>
      </c>
    </row>
    <row r="34" customFormat="false" ht="15" hidden="false" customHeight="false" outlineLevel="0" collapsed="false">
      <c r="A34" s="6" t="s">
        <v>1121</v>
      </c>
      <c r="B34" s="6" t="s">
        <v>1128</v>
      </c>
      <c r="C34" s="6" t="s">
        <v>1129</v>
      </c>
      <c r="D34" s="6" t="s">
        <v>627</v>
      </c>
      <c r="E34" s="6" t="s">
        <v>626</v>
      </c>
      <c r="F34" s="8" t="s">
        <v>118</v>
      </c>
      <c r="G34" s="6" t="s">
        <v>1110</v>
      </c>
      <c r="H34" s="6" t="n">
        <v>3</v>
      </c>
      <c r="I34" s="6" t="s">
        <v>249</v>
      </c>
    </row>
    <row r="35" customFormat="false" ht="15" hidden="false" customHeight="false" outlineLevel="0" collapsed="false">
      <c r="A35" s="6" t="s">
        <v>1121</v>
      </c>
      <c r="B35" s="6" t="s">
        <v>1130</v>
      </c>
      <c r="C35" s="6" t="s">
        <v>1131</v>
      </c>
      <c r="D35" s="6" t="s">
        <v>633</v>
      </c>
      <c r="E35" s="6" t="s">
        <v>632</v>
      </c>
      <c r="F35" s="8" t="s">
        <v>118</v>
      </c>
      <c r="G35" s="6" t="s">
        <v>1110</v>
      </c>
      <c r="H35" s="6" t="n">
        <v>3</v>
      </c>
      <c r="I35" s="6" t="s">
        <v>249</v>
      </c>
    </row>
  </sheetData>
  <autoFilter ref="A1:I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36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5" t="s">
        <v>1027</v>
      </c>
      <c r="B1" s="5" t="s">
        <v>1132</v>
      </c>
      <c r="C1" s="5" t="s">
        <v>1133</v>
      </c>
      <c r="D1" s="5" t="s">
        <v>1134</v>
      </c>
      <c r="E1" s="5" t="s">
        <v>1135</v>
      </c>
      <c r="F1" s="5" t="s">
        <v>1136</v>
      </c>
      <c r="G1" s="5" t="s">
        <v>1137</v>
      </c>
      <c r="H1" s="5" t="s">
        <v>86</v>
      </c>
      <c r="I1" s="5" t="s">
        <v>1138</v>
      </c>
      <c r="J1" s="5" t="s">
        <v>1139</v>
      </c>
      <c r="K1" s="5" t="s">
        <v>1140</v>
      </c>
    </row>
    <row r="2" customFormat="false" ht="23.85" hidden="false" customHeight="false" outlineLevel="0" collapsed="false">
      <c r="A2" s="13" t="s">
        <v>1141</v>
      </c>
      <c r="B2" s="13" t="s">
        <v>1142</v>
      </c>
      <c r="C2" s="13" t="s">
        <v>1143</v>
      </c>
      <c r="D2" s="13" t="n">
        <v>40</v>
      </c>
      <c r="E2" s="13" t="s">
        <v>1144</v>
      </c>
      <c r="F2" s="13" t="s">
        <v>1145</v>
      </c>
      <c r="G2" s="13"/>
      <c r="H2" s="13" t="n">
        <v>1</v>
      </c>
      <c r="I2" s="13" t="s">
        <v>1146</v>
      </c>
      <c r="J2" s="13" t="s">
        <v>131</v>
      </c>
      <c r="K2" s="13" t="s">
        <v>131</v>
      </c>
    </row>
    <row r="3" customFormat="false" ht="23.85" hidden="false" customHeight="false" outlineLevel="0" collapsed="false">
      <c r="A3" s="6" t="s">
        <v>1147</v>
      </c>
      <c r="B3" s="6" t="s">
        <v>1148</v>
      </c>
      <c r="C3" s="6" t="s">
        <v>1149</v>
      </c>
      <c r="D3" s="6" t="n">
        <v>0</v>
      </c>
      <c r="E3" s="6" t="s">
        <v>1150</v>
      </c>
      <c r="F3" s="6" t="s">
        <v>1151</v>
      </c>
      <c r="G3" s="8"/>
      <c r="H3" s="6" t="n">
        <v>1</v>
      </c>
      <c r="I3" s="8"/>
      <c r="J3" s="6" t="n">
        <f aca="false">COUNTIF('Page Map'!$E$2:$E$126,"/areas/"&amp;A3&amp;"/*")</f>
        <v>4</v>
      </c>
      <c r="K3" s="6" t="str">
        <f aca="false">IF(I3="","Gated - needs a job","Ready to build")</f>
        <v>Gated - needs a job</v>
      </c>
    </row>
    <row r="4" customFormat="false" ht="23.85" hidden="false" customHeight="false" outlineLevel="0" collapsed="false">
      <c r="A4" s="6" t="s">
        <v>1152</v>
      </c>
      <c r="B4" s="6" t="s">
        <v>1153</v>
      </c>
      <c r="C4" s="6" t="s">
        <v>1154</v>
      </c>
      <c r="D4" s="6" t="n">
        <v>35</v>
      </c>
      <c r="E4" s="6" t="s">
        <v>1150</v>
      </c>
      <c r="F4" s="6" t="s">
        <v>1151</v>
      </c>
      <c r="G4" s="8"/>
      <c r="H4" s="6" t="n">
        <v>1</v>
      </c>
      <c r="I4" s="8"/>
      <c r="J4" s="6" t="n">
        <f aca="false">COUNTIF('Page Map'!$E$2:$E$126,"/areas/"&amp;A4&amp;"/*")</f>
        <v>4</v>
      </c>
      <c r="K4" s="6" t="str">
        <f aca="false">IF(I4="","Gated - needs a job","Ready to build")</f>
        <v>Gated - needs a job</v>
      </c>
    </row>
    <row r="5" customFormat="false" ht="23.85" hidden="false" customHeight="false" outlineLevel="0" collapsed="false">
      <c r="A5" s="6" t="s">
        <v>1155</v>
      </c>
      <c r="B5" s="6" t="s">
        <v>1156</v>
      </c>
      <c r="C5" s="6" t="s">
        <v>1149</v>
      </c>
      <c r="D5" s="6" t="n">
        <v>15</v>
      </c>
      <c r="E5" s="6" t="s">
        <v>1150</v>
      </c>
      <c r="F5" s="6" t="s">
        <v>1151</v>
      </c>
      <c r="G5" s="8"/>
      <c r="H5" s="6" t="n">
        <v>2</v>
      </c>
      <c r="I5" s="8"/>
      <c r="J5" s="6" t="n">
        <f aca="false">COUNTIF('Page Map'!$E$2:$E$126,"/areas/"&amp;A5&amp;"/*")</f>
        <v>4</v>
      </c>
      <c r="K5" s="6" t="str">
        <f aca="false">IF(I5="","Gated - needs a job","Ready to build")</f>
        <v>Gated - needs a job</v>
      </c>
    </row>
    <row r="6" customFormat="false" ht="23.85" hidden="false" customHeight="false" outlineLevel="0" collapsed="false">
      <c r="A6" s="6" t="s">
        <v>1157</v>
      </c>
      <c r="B6" s="6" t="s">
        <v>1158</v>
      </c>
      <c r="C6" s="6" t="s">
        <v>1158</v>
      </c>
      <c r="D6" s="6" t="n">
        <v>30</v>
      </c>
      <c r="E6" s="6" t="s">
        <v>1150</v>
      </c>
      <c r="F6" s="6" t="s">
        <v>1151</v>
      </c>
      <c r="G6" s="8"/>
      <c r="H6" s="6" t="n">
        <v>2</v>
      </c>
      <c r="I6" s="8"/>
      <c r="J6" s="6" t="n">
        <f aca="false">COUNTIF('Page Map'!$E$2:$E$126,"/areas/"&amp;A6&amp;"/*")</f>
        <v>4</v>
      </c>
      <c r="K6" s="6" t="str">
        <f aca="false">IF(I6="","Gated - needs a job","Ready to build")</f>
        <v>Gated - needs a job</v>
      </c>
    </row>
    <row r="7" customFormat="false" ht="23.85" hidden="false" customHeight="false" outlineLevel="0" collapsed="false">
      <c r="A7" s="6" t="s">
        <v>1159</v>
      </c>
      <c r="B7" s="6" t="s">
        <v>1160</v>
      </c>
      <c r="C7" s="6" t="s">
        <v>1161</v>
      </c>
      <c r="D7" s="6" t="n">
        <v>35</v>
      </c>
      <c r="E7" s="6" t="s">
        <v>1150</v>
      </c>
      <c r="F7" s="6" t="s">
        <v>1151</v>
      </c>
      <c r="G7" s="8"/>
      <c r="H7" s="6" t="n">
        <v>2</v>
      </c>
      <c r="I7" s="8"/>
      <c r="J7" s="6" t="n">
        <f aca="false">COUNTIF('Page Map'!$E$2:$E$126,"/areas/"&amp;A7&amp;"/*")</f>
        <v>4</v>
      </c>
      <c r="K7" s="6" t="str">
        <f aca="false">IF(I7="","Gated - needs a job","Ready to build")</f>
        <v>Gated - needs a job</v>
      </c>
    </row>
    <row r="8" customFormat="false" ht="23.85" hidden="false" customHeight="false" outlineLevel="0" collapsed="false">
      <c r="A8" s="6" t="s">
        <v>1162</v>
      </c>
      <c r="B8" s="6" t="s">
        <v>1163</v>
      </c>
      <c r="C8" s="6" t="s">
        <v>1161</v>
      </c>
      <c r="D8" s="6" t="n">
        <v>40</v>
      </c>
      <c r="E8" s="6" t="s">
        <v>1150</v>
      </c>
      <c r="F8" s="6" t="s">
        <v>1151</v>
      </c>
      <c r="G8" s="8"/>
      <c r="H8" s="6" t="n">
        <v>2</v>
      </c>
      <c r="I8" s="8"/>
      <c r="J8" s="6" t="n">
        <f aca="false">COUNTIF('Page Map'!$E$2:$E$126,"/areas/"&amp;A8&amp;"/*")</f>
        <v>4</v>
      </c>
      <c r="K8" s="6" t="str">
        <f aca="false">IF(I8="","Gated - needs a job","Ready to build")</f>
        <v>Gated - needs a job</v>
      </c>
    </row>
    <row r="9" customFormat="false" ht="23.85" hidden="false" customHeight="false" outlineLevel="0" collapsed="false">
      <c r="A9" s="6" t="s">
        <v>1164</v>
      </c>
      <c r="B9" s="6" t="s">
        <v>1165</v>
      </c>
      <c r="C9" s="6" t="s">
        <v>1166</v>
      </c>
      <c r="D9" s="6" t="n">
        <v>50</v>
      </c>
      <c r="E9" s="6" t="s">
        <v>1167</v>
      </c>
      <c r="F9" s="6" t="s">
        <v>1168</v>
      </c>
      <c r="G9" s="8"/>
      <c r="H9" s="6" t="n">
        <v>3</v>
      </c>
      <c r="I9" s="8"/>
      <c r="J9" s="6" t="n">
        <f aca="false">COUNTIF('Page Map'!$E$2:$E$126,"/areas/"&amp;A9&amp;"/*")</f>
        <v>4</v>
      </c>
      <c r="K9" s="6" t="str">
        <f aca="false">IF(I9="","Gated - needs a job","Ready to build")</f>
        <v>Gated - needs a job</v>
      </c>
    </row>
    <row r="10" customFormat="false" ht="23.85" hidden="false" customHeight="false" outlineLevel="0" collapsed="false">
      <c r="A10" s="6" t="s">
        <v>1169</v>
      </c>
      <c r="B10" s="6" t="s">
        <v>1170</v>
      </c>
      <c r="C10" s="6" t="s">
        <v>1171</v>
      </c>
      <c r="D10" s="6" t="n">
        <v>55</v>
      </c>
      <c r="E10" s="6" t="s">
        <v>1167</v>
      </c>
      <c r="F10" s="6" t="s">
        <v>1168</v>
      </c>
      <c r="G10" s="8"/>
      <c r="H10" s="6" t="n">
        <v>3</v>
      </c>
      <c r="I10" s="8"/>
      <c r="J10" s="6" t="n">
        <f aca="false">COUNTIF('Page Map'!$E$2:$E$126,"/areas/"&amp;A10&amp;"/*")</f>
        <v>4</v>
      </c>
      <c r="K10" s="6" t="str">
        <f aca="false">IF(I10="","Gated - needs a job","Ready to build")</f>
        <v>Gated - needs a job</v>
      </c>
    </row>
    <row r="11" customFormat="false" ht="23.85" hidden="false" customHeight="false" outlineLevel="0" collapsed="false">
      <c r="A11" s="6" t="s">
        <v>1172</v>
      </c>
      <c r="B11" s="6" t="s">
        <v>1173</v>
      </c>
      <c r="C11" s="6" t="s">
        <v>1174</v>
      </c>
      <c r="D11" s="6" t="n">
        <v>60</v>
      </c>
      <c r="E11" s="6" t="s">
        <v>1175</v>
      </c>
      <c r="F11" s="6" t="s">
        <v>1176</v>
      </c>
      <c r="G11" s="8" t="s">
        <v>1177</v>
      </c>
      <c r="H11" s="6" t="n">
        <v>3</v>
      </c>
      <c r="I11" s="8"/>
      <c r="J11" s="6" t="n">
        <f aca="false">COUNTIF('Page Map'!$E$2:$E$126,"/areas/"&amp;A11&amp;"/*")</f>
        <v>4</v>
      </c>
      <c r="K11" s="6" t="str">
        <f aca="false">IF(I11="","Gated - needs a job","Ready to build")</f>
        <v>Gated - needs a job</v>
      </c>
    </row>
    <row r="12" customFormat="false" ht="23.85" hidden="false" customHeight="false" outlineLevel="0" collapsed="false">
      <c r="A12" s="6" t="s">
        <v>1178</v>
      </c>
      <c r="B12" s="6" t="s">
        <v>1179</v>
      </c>
      <c r="C12" s="6" t="s">
        <v>1180</v>
      </c>
      <c r="D12" s="6" t="n">
        <v>60</v>
      </c>
      <c r="E12" s="6" t="s">
        <v>1175</v>
      </c>
      <c r="F12" s="6" t="s">
        <v>1176</v>
      </c>
      <c r="G12" s="8" t="s">
        <v>1177</v>
      </c>
      <c r="H12" s="6" t="n">
        <v>3</v>
      </c>
      <c r="I12" s="8"/>
      <c r="J12" s="6" t="n">
        <f aca="false">COUNTIF('Page Map'!$E$2:$E$126,"/areas/"&amp;A12&amp;"/*")</f>
        <v>4</v>
      </c>
      <c r="K12" s="6" t="str">
        <f aca="false">IF(I12="","Gated - needs a job","Ready to build")</f>
        <v>Gated - needs a job</v>
      </c>
    </row>
    <row r="13" customFormat="false" ht="23.85" hidden="false" customHeight="false" outlineLevel="0" collapsed="false">
      <c r="A13" s="6" t="s">
        <v>1181</v>
      </c>
      <c r="B13" s="6" t="s">
        <v>1182</v>
      </c>
      <c r="C13" s="6" t="s">
        <v>1174</v>
      </c>
      <c r="D13" s="6" t="n">
        <v>70</v>
      </c>
      <c r="E13" s="6" t="s">
        <v>1175</v>
      </c>
      <c r="F13" s="6" t="s">
        <v>1176</v>
      </c>
      <c r="G13" s="8" t="s">
        <v>1177</v>
      </c>
      <c r="H13" s="6" t="n">
        <v>3</v>
      </c>
      <c r="I13" s="8"/>
      <c r="J13" s="6" t="n">
        <f aca="false">COUNTIF('Page Map'!$E$2:$E$126,"/areas/"&amp;A13&amp;"/*")</f>
        <v>4</v>
      </c>
      <c r="K13" s="6" t="str">
        <f aca="false">IF(I13="","Gated - needs a job","Ready to build")</f>
        <v>Gated - needs a job</v>
      </c>
    </row>
    <row r="14" customFormat="false" ht="23.85" hidden="false" customHeight="false" outlineLevel="0" collapsed="false">
      <c r="A14" s="6" t="s">
        <v>1183</v>
      </c>
      <c r="B14" s="6" t="s">
        <v>1184</v>
      </c>
      <c r="C14" s="6" t="s">
        <v>1174</v>
      </c>
      <c r="D14" s="6" t="n">
        <v>75</v>
      </c>
      <c r="E14" s="6" t="s">
        <v>1175</v>
      </c>
      <c r="F14" s="6" t="s">
        <v>1176</v>
      </c>
      <c r="G14" s="8" t="s">
        <v>1177</v>
      </c>
      <c r="H14" s="6" t="n">
        <v>3</v>
      </c>
      <c r="I14" s="8"/>
      <c r="J14" s="6" t="n">
        <f aca="false">COUNTIF('Page Map'!$E$2:$E$126,"/areas/"&amp;A14&amp;"/*")</f>
        <v>4</v>
      </c>
      <c r="K14" s="6" t="str">
        <f aca="false">IF(I14="","Gated - needs a job","Ready to build")</f>
        <v>Gated - needs a job</v>
      </c>
    </row>
    <row r="15" customFormat="false" ht="23.85" hidden="false" customHeight="false" outlineLevel="0" collapsed="false">
      <c r="A15" s="6" t="s">
        <v>1185</v>
      </c>
      <c r="B15" s="6" t="s">
        <v>1186</v>
      </c>
      <c r="C15" s="6" t="s">
        <v>1180</v>
      </c>
      <c r="D15" s="6" t="n">
        <v>75</v>
      </c>
      <c r="E15" s="6" t="s">
        <v>1175</v>
      </c>
      <c r="F15" s="6" t="s">
        <v>1176</v>
      </c>
      <c r="G15" s="8" t="s">
        <v>1177</v>
      </c>
      <c r="H15" s="6" t="n">
        <v>3</v>
      </c>
      <c r="I15" s="8"/>
      <c r="J15" s="6" t="n">
        <f aca="false">COUNTIF('Page Map'!$E$2:$E$126,"/areas/"&amp;A15&amp;"/*")</f>
        <v>4</v>
      </c>
      <c r="K15" s="6" t="str">
        <f aca="false">IF(I15="","Gated - needs a job","Ready to build")</f>
        <v>Gated - needs a job</v>
      </c>
    </row>
    <row r="17" customFormat="false" ht="15" hidden="false" customHeight="false" outlineLevel="0" collapsed="false">
      <c r="A17" s="12" t="s">
        <v>1187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8" min="5" style="0" width="12"/>
  </cols>
  <sheetData>
    <row r="1" customFormat="false" ht="30" hidden="false" customHeight="true" outlineLevel="0" collapsed="false">
      <c r="A1" s="5" t="s">
        <v>1188</v>
      </c>
      <c r="B1" s="5" t="s">
        <v>88</v>
      </c>
      <c r="C1" s="5" t="s">
        <v>1189</v>
      </c>
      <c r="D1" s="5" t="s">
        <v>1190</v>
      </c>
      <c r="E1" s="5" t="s">
        <v>1191</v>
      </c>
      <c r="F1" s="5" t="s">
        <v>1192</v>
      </c>
      <c r="G1" s="5" t="s">
        <v>1193</v>
      </c>
      <c r="H1" s="5" t="s">
        <v>1194</v>
      </c>
    </row>
    <row r="2" customFormat="false" ht="15" hidden="false" customHeight="false" outlineLevel="0" collapsed="false">
      <c r="A2" s="14" t="s">
        <v>110</v>
      </c>
      <c r="B2" s="14" t="s">
        <v>108</v>
      </c>
      <c r="C2" s="14" t="s">
        <v>109</v>
      </c>
      <c r="D2" s="14"/>
      <c r="E2" s="15"/>
      <c r="F2" s="16"/>
      <c r="G2" s="17"/>
      <c r="H2" s="17"/>
    </row>
    <row r="3" customFormat="false" ht="15" hidden="false" customHeight="false" outlineLevel="0" collapsed="false">
      <c r="A3" s="14" t="s">
        <v>1195</v>
      </c>
      <c r="B3" s="14" t="s">
        <v>108</v>
      </c>
      <c r="C3" s="14" t="s">
        <v>109</v>
      </c>
      <c r="D3" s="14"/>
      <c r="E3" s="15"/>
      <c r="F3" s="16"/>
      <c r="G3" s="17"/>
      <c r="H3" s="17"/>
    </row>
    <row r="4" customFormat="false" ht="15" hidden="false" customHeight="false" outlineLevel="0" collapsed="false">
      <c r="A4" s="14" t="s">
        <v>1196</v>
      </c>
      <c r="B4" s="14" t="s">
        <v>108</v>
      </c>
      <c r="C4" s="14" t="s">
        <v>109</v>
      </c>
      <c r="D4" s="14"/>
      <c r="E4" s="15"/>
      <c r="F4" s="16"/>
      <c r="G4" s="17"/>
      <c r="H4" s="17"/>
    </row>
    <row r="5" customFormat="false" ht="15" hidden="false" customHeight="false" outlineLevel="0" collapsed="false">
      <c r="A5" s="14" t="s">
        <v>1197</v>
      </c>
      <c r="B5" s="14" t="s">
        <v>108</v>
      </c>
      <c r="C5" s="14" t="s">
        <v>109</v>
      </c>
      <c r="D5" s="14" t="s">
        <v>1198</v>
      </c>
      <c r="E5" s="15"/>
      <c r="F5" s="16"/>
      <c r="G5" s="17"/>
      <c r="H5" s="17"/>
    </row>
    <row r="6" customFormat="false" ht="15" hidden="false" customHeight="false" outlineLevel="0" collapsed="false">
      <c r="A6" s="14" t="s">
        <v>1199</v>
      </c>
      <c r="B6" s="14" t="s">
        <v>1200</v>
      </c>
      <c r="C6" s="14" t="s">
        <v>109</v>
      </c>
      <c r="D6" s="14" t="s">
        <v>1198</v>
      </c>
      <c r="E6" s="15"/>
      <c r="F6" s="16"/>
      <c r="G6" s="17"/>
      <c r="H6" s="17"/>
    </row>
    <row r="7" customFormat="false" ht="15" hidden="false" customHeight="false" outlineLevel="0" collapsed="false">
      <c r="A7" s="14" t="s">
        <v>1201</v>
      </c>
      <c r="B7" s="14" t="s">
        <v>1200</v>
      </c>
      <c r="C7" s="14" t="s">
        <v>109</v>
      </c>
      <c r="D7" s="14" t="s">
        <v>1198</v>
      </c>
      <c r="E7" s="15"/>
      <c r="F7" s="16"/>
      <c r="G7" s="17"/>
      <c r="H7" s="17"/>
    </row>
    <row r="8" customFormat="false" ht="15" hidden="false" customHeight="false" outlineLevel="0" collapsed="false">
      <c r="A8" s="14" t="s">
        <v>1202</v>
      </c>
      <c r="B8" s="14" t="s">
        <v>1200</v>
      </c>
      <c r="C8" s="14" t="s">
        <v>194</v>
      </c>
      <c r="D8" s="14" t="s">
        <v>1198</v>
      </c>
      <c r="E8" s="15"/>
      <c r="F8" s="16"/>
      <c r="G8" s="17"/>
      <c r="H8" s="17"/>
    </row>
    <row r="9" customFormat="false" ht="15" hidden="false" customHeight="false" outlineLevel="0" collapsed="false">
      <c r="A9" s="14" t="s">
        <v>1203</v>
      </c>
      <c r="B9" s="14" t="s">
        <v>1200</v>
      </c>
      <c r="C9" s="14" t="s">
        <v>182</v>
      </c>
      <c r="D9" s="14" t="s">
        <v>1198</v>
      </c>
      <c r="E9" s="15"/>
      <c r="F9" s="16"/>
      <c r="G9" s="17"/>
      <c r="H9" s="17"/>
    </row>
    <row r="10" customFormat="false" ht="15" hidden="false" customHeight="false" outlineLevel="0" collapsed="false">
      <c r="A10" s="14" t="s">
        <v>1204</v>
      </c>
      <c r="B10" s="14" t="s">
        <v>1200</v>
      </c>
      <c r="C10" s="14" t="s">
        <v>203</v>
      </c>
      <c r="D10" s="14" t="s">
        <v>1198</v>
      </c>
      <c r="E10" s="15"/>
      <c r="F10" s="16"/>
      <c r="G10" s="17"/>
      <c r="H10" s="17"/>
    </row>
    <row r="11" customFormat="false" ht="15" hidden="false" customHeight="false" outlineLevel="0" collapsed="false">
      <c r="A11" s="14" t="s">
        <v>1205</v>
      </c>
      <c r="B11" s="14" t="s">
        <v>1200</v>
      </c>
      <c r="C11" s="14" t="s">
        <v>348</v>
      </c>
      <c r="D11" s="14" t="s">
        <v>1198</v>
      </c>
      <c r="E11" s="15"/>
      <c r="F11" s="16"/>
      <c r="G11" s="17"/>
      <c r="H11" s="17"/>
    </row>
    <row r="12" customFormat="false" ht="15" hidden="false" customHeight="false" outlineLevel="0" collapsed="false">
      <c r="A12" s="14" t="s">
        <v>1206</v>
      </c>
      <c r="B12" s="14" t="s">
        <v>1200</v>
      </c>
      <c r="C12" s="14" t="s">
        <v>469</v>
      </c>
      <c r="D12" s="14" t="s">
        <v>1198</v>
      </c>
      <c r="E12" s="15"/>
      <c r="F12" s="16"/>
      <c r="G12" s="17"/>
      <c r="H12" s="17"/>
    </row>
    <row r="13" customFormat="false" ht="15" hidden="false" customHeight="false" outlineLevel="0" collapsed="false">
      <c r="A13" s="14" t="s">
        <v>1207</v>
      </c>
      <c r="B13" s="14" t="s">
        <v>1200</v>
      </c>
      <c r="C13" s="14" t="s">
        <v>355</v>
      </c>
      <c r="D13" s="14" t="s">
        <v>1198</v>
      </c>
      <c r="E13" s="15"/>
      <c r="F13" s="16"/>
      <c r="G13" s="17"/>
      <c r="H13" s="17"/>
    </row>
    <row r="14" customFormat="false" ht="15" hidden="false" customHeight="false" outlineLevel="0" collapsed="false">
      <c r="A14" s="14" t="s">
        <v>147</v>
      </c>
      <c r="B14" s="14" t="s">
        <v>123</v>
      </c>
      <c r="C14" s="14" t="s">
        <v>146</v>
      </c>
      <c r="D14" s="14"/>
      <c r="E14" s="15"/>
      <c r="F14" s="16"/>
      <c r="G14" s="17"/>
      <c r="H14" s="17"/>
    </row>
    <row r="15" customFormat="false" ht="15" hidden="false" customHeight="false" outlineLevel="0" collapsed="false">
      <c r="A15" s="14" t="s">
        <v>1208</v>
      </c>
      <c r="B15" s="14" t="s">
        <v>123</v>
      </c>
      <c r="C15" s="14" t="s">
        <v>146</v>
      </c>
      <c r="D15" s="14"/>
      <c r="E15" s="15"/>
      <c r="F15" s="16"/>
      <c r="G15" s="17"/>
      <c r="H15" s="17"/>
    </row>
    <row r="16" customFormat="false" ht="15" hidden="false" customHeight="false" outlineLevel="0" collapsed="false">
      <c r="A16" s="14" t="s">
        <v>156</v>
      </c>
      <c r="B16" s="14" t="s">
        <v>123</v>
      </c>
      <c r="C16" s="14" t="s">
        <v>155</v>
      </c>
      <c r="D16" s="14"/>
      <c r="E16" s="15"/>
      <c r="F16" s="16"/>
      <c r="G16" s="17"/>
      <c r="H16" s="17"/>
    </row>
    <row r="17" customFormat="false" ht="15" hidden="false" customHeight="false" outlineLevel="0" collapsed="false">
      <c r="A17" s="14" t="s">
        <v>165</v>
      </c>
      <c r="B17" s="14" t="s">
        <v>163</v>
      </c>
      <c r="C17" s="14" t="s">
        <v>164</v>
      </c>
      <c r="D17" s="14"/>
      <c r="E17" s="15"/>
      <c r="F17" s="16"/>
      <c r="G17" s="17"/>
      <c r="H17" s="17"/>
    </row>
    <row r="18" customFormat="false" ht="15" hidden="false" customHeight="false" outlineLevel="0" collapsed="false">
      <c r="A18" s="14" t="s">
        <v>349</v>
      </c>
      <c r="B18" s="14" t="s">
        <v>163</v>
      </c>
      <c r="C18" s="14" t="s">
        <v>348</v>
      </c>
      <c r="D18" s="14"/>
      <c r="E18" s="15"/>
      <c r="F18" s="16"/>
      <c r="G18" s="17"/>
      <c r="H18" s="17"/>
    </row>
    <row r="19" customFormat="false" ht="15" hidden="false" customHeight="false" outlineLevel="0" collapsed="false">
      <c r="A19" s="14" t="s">
        <v>356</v>
      </c>
      <c r="B19" s="14" t="s">
        <v>163</v>
      </c>
      <c r="C19" s="14" t="s">
        <v>355</v>
      </c>
      <c r="D19" s="14"/>
      <c r="E19" s="15"/>
      <c r="F19" s="16"/>
      <c r="G19" s="17"/>
      <c r="H19" s="17"/>
    </row>
    <row r="20" customFormat="false" ht="15" hidden="false" customHeight="false" outlineLevel="0" collapsed="false">
      <c r="A20" s="14" t="s">
        <v>1209</v>
      </c>
      <c r="B20" s="14" t="s">
        <v>249</v>
      </c>
      <c r="C20" s="14" t="s">
        <v>469</v>
      </c>
      <c r="D20" s="14"/>
      <c r="E20" s="15"/>
      <c r="F20" s="16"/>
      <c r="G20" s="17"/>
      <c r="H20" s="17"/>
    </row>
    <row r="21" customFormat="false" ht="15" hidden="false" customHeight="false" outlineLevel="0" collapsed="false">
      <c r="A21" s="14" t="s">
        <v>1210</v>
      </c>
      <c r="B21" s="14" t="s">
        <v>249</v>
      </c>
      <c r="C21" s="14" t="s">
        <v>469</v>
      </c>
      <c r="D21" s="14"/>
      <c r="E21" s="15"/>
      <c r="F21" s="16"/>
      <c r="G21" s="17"/>
      <c r="H21" s="17"/>
    </row>
    <row r="22" customFormat="false" ht="15" hidden="false" customHeight="false" outlineLevel="0" collapsed="false">
      <c r="A22" s="14" t="s">
        <v>183</v>
      </c>
      <c r="B22" s="14" t="s">
        <v>181</v>
      </c>
      <c r="C22" s="14" t="s">
        <v>182</v>
      </c>
      <c r="D22" s="14"/>
      <c r="E22" s="15"/>
      <c r="F22" s="16"/>
      <c r="G22" s="17"/>
      <c r="H22" s="17"/>
    </row>
    <row r="23" customFormat="false" ht="15" hidden="false" customHeight="false" outlineLevel="0" collapsed="false">
      <c r="A23" s="14" t="s">
        <v>1211</v>
      </c>
      <c r="B23" s="14" t="s">
        <v>181</v>
      </c>
      <c r="C23" s="14" t="s">
        <v>182</v>
      </c>
      <c r="D23" s="14"/>
      <c r="E23" s="15"/>
      <c r="F23" s="16"/>
      <c r="G23" s="17"/>
      <c r="H23" s="17"/>
    </row>
    <row r="24" customFormat="false" ht="15" hidden="false" customHeight="false" outlineLevel="0" collapsed="false">
      <c r="A24" s="14" t="s">
        <v>1212</v>
      </c>
      <c r="B24" s="14" t="s">
        <v>181</v>
      </c>
      <c r="C24" s="14" t="s">
        <v>182</v>
      </c>
      <c r="D24" s="14"/>
      <c r="E24" s="15"/>
      <c r="F24" s="16"/>
      <c r="G24" s="17"/>
      <c r="H24" s="17"/>
    </row>
    <row r="25" customFormat="false" ht="15" hidden="false" customHeight="false" outlineLevel="0" collapsed="false">
      <c r="A25" s="14" t="s">
        <v>1213</v>
      </c>
      <c r="B25" s="14" t="s">
        <v>181</v>
      </c>
      <c r="C25" s="14" t="s">
        <v>182</v>
      </c>
      <c r="D25" s="14"/>
      <c r="E25" s="15"/>
      <c r="F25" s="16"/>
      <c r="G25" s="17"/>
      <c r="H25" s="17"/>
    </row>
    <row r="26" customFormat="false" ht="15" hidden="false" customHeight="false" outlineLevel="0" collapsed="false">
      <c r="A26" s="14" t="s">
        <v>1214</v>
      </c>
      <c r="B26" s="14" t="s">
        <v>181</v>
      </c>
      <c r="C26" s="14" t="s">
        <v>182</v>
      </c>
      <c r="D26" s="14"/>
      <c r="E26" s="15"/>
      <c r="F26" s="16"/>
      <c r="G26" s="17"/>
      <c r="H26" s="17"/>
    </row>
    <row r="27" customFormat="false" ht="15" hidden="false" customHeight="false" outlineLevel="0" collapsed="false">
      <c r="A27" s="14" t="s">
        <v>195</v>
      </c>
      <c r="B27" s="14" t="s">
        <v>181</v>
      </c>
      <c r="C27" s="14" t="s">
        <v>194</v>
      </c>
      <c r="D27" s="14"/>
      <c r="E27" s="15"/>
      <c r="F27" s="16"/>
      <c r="G27" s="17"/>
      <c r="H27" s="17"/>
    </row>
    <row r="28" customFormat="false" ht="15" hidden="false" customHeight="false" outlineLevel="0" collapsed="false">
      <c r="A28" s="14" t="s">
        <v>1215</v>
      </c>
      <c r="B28" s="14" t="s">
        <v>181</v>
      </c>
      <c r="C28" s="14" t="s">
        <v>194</v>
      </c>
      <c r="D28" s="14"/>
      <c r="E28" s="15"/>
      <c r="F28" s="16"/>
      <c r="G28" s="17"/>
      <c r="H28" s="17"/>
    </row>
    <row r="29" customFormat="false" ht="15" hidden="false" customHeight="false" outlineLevel="0" collapsed="false">
      <c r="A29" s="14" t="s">
        <v>1216</v>
      </c>
      <c r="B29" s="14" t="s">
        <v>181</v>
      </c>
      <c r="C29" s="14" t="s">
        <v>194</v>
      </c>
      <c r="D29" s="14"/>
      <c r="E29" s="15"/>
      <c r="F29" s="16"/>
      <c r="G29" s="17"/>
      <c r="H29" s="17"/>
    </row>
    <row r="30" customFormat="false" ht="15" hidden="false" customHeight="false" outlineLevel="0" collapsed="false">
      <c r="A30" s="14" t="s">
        <v>1217</v>
      </c>
      <c r="B30" s="14" t="s">
        <v>181</v>
      </c>
      <c r="C30" s="14" t="s">
        <v>194</v>
      </c>
      <c r="D30" s="14"/>
      <c r="E30" s="15"/>
      <c r="F30" s="16"/>
      <c r="G30" s="17"/>
      <c r="H30" s="17"/>
    </row>
    <row r="31" customFormat="false" ht="15" hidden="false" customHeight="false" outlineLevel="0" collapsed="false">
      <c r="A31" s="14" t="s">
        <v>204</v>
      </c>
      <c r="B31" s="14" t="s">
        <v>181</v>
      </c>
      <c r="C31" s="14" t="s">
        <v>203</v>
      </c>
      <c r="D31" s="14"/>
      <c r="E31" s="15"/>
      <c r="F31" s="16"/>
      <c r="G31" s="17"/>
      <c r="H31" s="17"/>
    </row>
    <row r="32" customFormat="false" ht="15" hidden="false" customHeight="false" outlineLevel="0" collapsed="false">
      <c r="A32" s="14" t="s">
        <v>1218</v>
      </c>
      <c r="B32" s="14" t="s">
        <v>181</v>
      </c>
      <c r="C32" s="14" t="s">
        <v>203</v>
      </c>
      <c r="D32" s="14"/>
      <c r="E32" s="15"/>
      <c r="F32" s="16"/>
      <c r="G32" s="17"/>
      <c r="H32" s="17"/>
    </row>
    <row r="33" customFormat="false" ht="15" hidden="false" customHeight="false" outlineLevel="0" collapsed="false">
      <c r="A33" s="14" t="s">
        <v>1219</v>
      </c>
      <c r="B33" s="14" t="s">
        <v>181</v>
      </c>
      <c r="C33" s="14" t="s">
        <v>203</v>
      </c>
      <c r="D33" s="14"/>
      <c r="E33" s="15"/>
      <c r="F33" s="16"/>
      <c r="G33" s="17"/>
      <c r="H33" s="17"/>
    </row>
    <row r="34" customFormat="false" ht="15" hidden="false" customHeight="false" outlineLevel="0" collapsed="false">
      <c r="A34" s="14" t="s">
        <v>1220</v>
      </c>
      <c r="B34" s="14" t="s">
        <v>181</v>
      </c>
      <c r="C34" s="14" t="s">
        <v>203</v>
      </c>
      <c r="D34" s="14"/>
      <c r="E34" s="15"/>
      <c r="F34" s="16"/>
      <c r="G34" s="17"/>
      <c r="H34" s="17"/>
    </row>
    <row r="35" customFormat="false" ht="15" hidden="false" customHeight="false" outlineLevel="0" collapsed="false">
      <c r="A35" s="14" t="s">
        <v>1221</v>
      </c>
      <c r="B35" s="14" t="s">
        <v>181</v>
      </c>
      <c r="C35" s="14" t="s">
        <v>203</v>
      </c>
      <c r="D35" s="14"/>
      <c r="E35" s="15"/>
      <c r="F35" s="16"/>
      <c r="G35" s="17"/>
      <c r="H35" s="17"/>
    </row>
    <row r="36" customFormat="false" ht="15" hidden="false" customHeight="false" outlineLevel="0" collapsed="false">
      <c r="A36" s="14" t="s">
        <v>1222</v>
      </c>
      <c r="B36" s="14" t="s">
        <v>181</v>
      </c>
      <c r="C36" s="14" t="s">
        <v>203</v>
      </c>
      <c r="D36" s="14"/>
      <c r="E36" s="15"/>
      <c r="F36" s="16"/>
      <c r="G36" s="17"/>
      <c r="H36" s="17"/>
    </row>
    <row r="37" customFormat="false" ht="15" hidden="false" customHeight="false" outlineLevel="0" collapsed="false">
      <c r="A37" s="14" t="s">
        <v>213</v>
      </c>
      <c r="B37" s="14" t="s">
        <v>181</v>
      </c>
      <c r="C37" s="14" t="s">
        <v>212</v>
      </c>
      <c r="D37" s="14"/>
      <c r="E37" s="15"/>
      <c r="F37" s="16"/>
      <c r="G37" s="17"/>
      <c r="H37" s="17"/>
    </row>
    <row r="38" customFormat="false" ht="15" hidden="false" customHeight="false" outlineLevel="0" collapsed="false">
      <c r="A38" s="14" t="s">
        <v>1223</v>
      </c>
      <c r="B38" s="14" t="s">
        <v>181</v>
      </c>
      <c r="C38" s="14" t="s">
        <v>212</v>
      </c>
      <c r="D38" s="14"/>
      <c r="E38" s="15"/>
      <c r="F38" s="16"/>
      <c r="G38" s="17"/>
      <c r="H38" s="17"/>
    </row>
    <row r="39" customFormat="false" ht="15" hidden="false" customHeight="false" outlineLevel="0" collapsed="false">
      <c r="A39" s="14" t="s">
        <v>1224</v>
      </c>
      <c r="B39" s="14" t="s">
        <v>181</v>
      </c>
      <c r="C39" s="14" t="s">
        <v>212</v>
      </c>
      <c r="D39" s="14"/>
      <c r="E39" s="15"/>
      <c r="F39" s="16"/>
      <c r="G39" s="17"/>
      <c r="H39" s="17"/>
    </row>
    <row r="40" customFormat="false" ht="15" hidden="false" customHeight="false" outlineLevel="0" collapsed="false">
      <c r="A40" s="14" t="s">
        <v>1225</v>
      </c>
      <c r="B40" s="14" t="s">
        <v>181</v>
      </c>
      <c r="C40" s="14" t="s">
        <v>212</v>
      </c>
      <c r="D40" s="14"/>
      <c r="E40" s="15"/>
      <c r="F40" s="16"/>
      <c r="G40" s="17"/>
      <c r="H40" s="17"/>
    </row>
    <row r="41" customFormat="false" ht="15" hidden="false" customHeight="false" outlineLevel="0" collapsed="false">
      <c r="A41" s="14" t="s">
        <v>222</v>
      </c>
      <c r="B41" s="14" t="s">
        <v>181</v>
      </c>
      <c r="C41" s="14" t="s">
        <v>221</v>
      </c>
      <c r="D41" s="14"/>
      <c r="E41" s="15"/>
      <c r="F41" s="16"/>
      <c r="G41" s="17"/>
      <c r="H41" s="17"/>
    </row>
    <row r="42" customFormat="false" ht="15" hidden="false" customHeight="false" outlineLevel="0" collapsed="false">
      <c r="A42" s="14" t="s">
        <v>1226</v>
      </c>
      <c r="B42" s="14" t="s">
        <v>181</v>
      </c>
      <c r="C42" s="14" t="s">
        <v>221</v>
      </c>
      <c r="D42" s="14"/>
      <c r="E42" s="15"/>
      <c r="F42" s="16"/>
      <c r="G42" s="17"/>
      <c r="H42" s="17"/>
    </row>
    <row r="43" customFormat="false" ht="15" hidden="false" customHeight="false" outlineLevel="0" collapsed="false">
      <c r="A43" s="14" t="s">
        <v>1227</v>
      </c>
      <c r="B43" s="14" t="s">
        <v>181</v>
      </c>
      <c r="C43" s="14" t="s">
        <v>221</v>
      </c>
      <c r="D43" s="14"/>
      <c r="E43" s="15"/>
      <c r="F43" s="16"/>
      <c r="G43" s="17"/>
      <c r="H43" s="17"/>
    </row>
    <row r="44" customFormat="false" ht="15" hidden="false" customHeight="false" outlineLevel="0" collapsed="false">
      <c r="A44" s="14" t="s">
        <v>1228</v>
      </c>
      <c r="B44" s="14" t="s">
        <v>181</v>
      </c>
      <c r="C44" s="14" t="s">
        <v>221</v>
      </c>
      <c r="D44" s="14"/>
      <c r="E44" s="15"/>
      <c r="F44" s="16"/>
      <c r="G44" s="17"/>
      <c r="H44" s="17"/>
    </row>
    <row r="45" customFormat="false" ht="15" hidden="false" customHeight="false" outlineLevel="0" collapsed="false">
      <c r="A45" s="14" t="s">
        <v>1229</v>
      </c>
      <c r="B45" s="14" t="s">
        <v>181</v>
      </c>
      <c r="C45" s="14" t="s">
        <v>221</v>
      </c>
      <c r="D45" s="14"/>
      <c r="E45" s="15"/>
      <c r="F45" s="16"/>
      <c r="G45" s="17"/>
      <c r="H45" s="17"/>
    </row>
    <row r="46" customFormat="false" ht="15" hidden="false" customHeight="false" outlineLevel="0" collapsed="false">
      <c r="A46" s="14" t="s">
        <v>231</v>
      </c>
      <c r="B46" s="14" t="s">
        <v>181</v>
      </c>
      <c r="C46" s="14" t="s">
        <v>230</v>
      </c>
      <c r="D46" s="14"/>
      <c r="E46" s="15"/>
      <c r="F46" s="16"/>
      <c r="G46" s="17"/>
      <c r="H46" s="17"/>
    </row>
    <row r="47" customFormat="false" ht="15" hidden="false" customHeight="false" outlineLevel="0" collapsed="false">
      <c r="A47" s="14" t="s">
        <v>1230</v>
      </c>
      <c r="B47" s="14" t="s">
        <v>181</v>
      </c>
      <c r="C47" s="14" t="s">
        <v>230</v>
      </c>
      <c r="D47" s="14"/>
      <c r="E47" s="15"/>
      <c r="F47" s="16"/>
      <c r="G47" s="17"/>
      <c r="H47" s="17"/>
    </row>
    <row r="48" customFormat="false" ht="15" hidden="false" customHeight="false" outlineLevel="0" collapsed="false">
      <c r="A48" s="14" t="s">
        <v>1231</v>
      </c>
      <c r="B48" s="14" t="s">
        <v>181</v>
      </c>
      <c r="C48" s="14" t="s">
        <v>230</v>
      </c>
      <c r="D48" s="14"/>
      <c r="E48" s="15"/>
      <c r="F48" s="16"/>
      <c r="G48" s="17"/>
      <c r="H48" s="17"/>
    </row>
    <row r="49" customFormat="false" ht="15" hidden="false" customHeight="false" outlineLevel="0" collapsed="false">
      <c r="A49" s="14" t="s">
        <v>1232</v>
      </c>
      <c r="B49" s="14" t="s">
        <v>181</v>
      </c>
      <c r="C49" s="14" t="s">
        <v>230</v>
      </c>
      <c r="D49" s="14"/>
      <c r="E49" s="15"/>
      <c r="F49" s="16"/>
      <c r="G49" s="17"/>
      <c r="H49" s="17"/>
    </row>
    <row r="50" customFormat="false" ht="15" hidden="false" customHeight="false" outlineLevel="0" collapsed="false">
      <c r="A50" s="14" t="s">
        <v>240</v>
      </c>
      <c r="B50" s="14" t="s">
        <v>181</v>
      </c>
      <c r="C50" s="14" t="s">
        <v>239</v>
      </c>
      <c r="D50" s="14"/>
      <c r="E50" s="15"/>
      <c r="F50" s="16"/>
      <c r="G50" s="17"/>
      <c r="H50" s="17"/>
    </row>
    <row r="51" customFormat="false" ht="15" hidden="false" customHeight="false" outlineLevel="0" collapsed="false">
      <c r="A51" s="14" t="s">
        <v>1233</v>
      </c>
      <c r="B51" s="14" t="s">
        <v>181</v>
      </c>
      <c r="C51" s="14" t="s">
        <v>239</v>
      </c>
      <c r="D51" s="14"/>
      <c r="E51" s="15"/>
      <c r="F51" s="16"/>
      <c r="G51" s="17"/>
      <c r="H51" s="17"/>
    </row>
    <row r="52" customFormat="false" ht="15" hidden="false" customHeight="false" outlineLevel="0" collapsed="false">
      <c r="A52" s="14" t="s">
        <v>1234</v>
      </c>
      <c r="B52" s="14" t="s">
        <v>181</v>
      </c>
      <c r="C52" s="14" t="s">
        <v>239</v>
      </c>
      <c r="D52" s="14"/>
      <c r="E52" s="15"/>
      <c r="F52" s="16"/>
      <c r="G52" s="17"/>
      <c r="H52" s="17"/>
    </row>
    <row r="53" customFormat="false" ht="15" hidden="false" customHeight="false" outlineLevel="0" collapsed="false">
      <c r="A53" s="14" t="s">
        <v>1235</v>
      </c>
      <c r="B53" s="14" t="s">
        <v>181</v>
      </c>
      <c r="C53" s="14" t="s">
        <v>239</v>
      </c>
      <c r="D53" s="14"/>
      <c r="E53" s="15"/>
      <c r="F53" s="16"/>
      <c r="G53" s="17"/>
      <c r="H53" s="17"/>
    </row>
    <row r="54" customFormat="false" ht="15" hidden="false" customHeight="false" outlineLevel="0" collapsed="false">
      <c r="A54" s="14" t="s">
        <v>1236</v>
      </c>
      <c r="B54" s="14" t="s">
        <v>181</v>
      </c>
      <c r="C54" s="14" t="s">
        <v>239</v>
      </c>
      <c r="D54" s="14"/>
      <c r="E54" s="15"/>
      <c r="F54" s="16"/>
      <c r="G54" s="17"/>
      <c r="H54" s="17"/>
    </row>
    <row r="55" customFormat="false" ht="15" hidden="false" customHeight="false" outlineLevel="0" collapsed="false">
      <c r="A55" s="14" t="s">
        <v>1237</v>
      </c>
      <c r="B55" s="14" t="s">
        <v>181</v>
      </c>
      <c r="C55" s="14" t="s">
        <v>239</v>
      </c>
      <c r="D55" s="14"/>
      <c r="E55" s="15"/>
      <c r="F55" s="16"/>
      <c r="G55" s="17"/>
      <c r="H55" s="17"/>
    </row>
    <row r="56" customFormat="false" ht="15" hidden="false" customHeight="false" outlineLevel="0" collapsed="false">
      <c r="A56" s="14" t="s">
        <v>376</v>
      </c>
      <c r="B56" s="14" t="s">
        <v>181</v>
      </c>
      <c r="C56" s="14" t="s">
        <v>375</v>
      </c>
      <c r="D56" s="14"/>
      <c r="E56" s="15"/>
      <c r="F56" s="16"/>
      <c r="G56" s="17"/>
      <c r="H56" s="17"/>
    </row>
    <row r="57" customFormat="false" ht="15" hidden="false" customHeight="false" outlineLevel="0" collapsed="false">
      <c r="A57" s="14" t="s">
        <v>1238</v>
      </c>
      <c r="B57" s="14" t="s">
        <v>181</v>
      </c>
      <c r="C57" s="14" t="s">
        <v>375</v>
      </c>
      <c r="D57" s="14"/>
      <c r="E57" s="15"/>
      <c r="F57" s="16"/>
      <c r="G57" s="17"/>
      <c r="H57" s="17"/>
    </row>
    <row r="58" customFormat="false" ht="15" hidden="false" customHeight="false" outlineLevel="0" collapsed="false">
      <c r="A58" s="14" t="s">
        <v>1239</v>
      </c>
      <c r="B58" s="14" t="s">
        <v>181</v>
      </c>
      <c r="C58" s="14" t="s">
        <v>375</v>
      </c>
      <c r="D58" s="14"/>
      <c r="E58" s="15"/>
      <c r="F58" s="16"/>
      <c r="G58" s="17"/>
      <c r="H58" s="17"/>
    </row>
    <row r="59" customFormat="false" ht="15" hidden="false" customHeight="false" outlineLevel="0" collapsed="false">
      <c r="A59" s="14" t="s">
        <v>1240</v>
      </c>
      <c r="B59" s="14" t="s">
        <v>181</v>
      </c>
      <c r="C59" s="14" t="s">
        <v>375</v>
      </c>
      <c r="D59" s="14"/>
      <c r="E59" s="15"/>
      <c r="F59" s="16"/>
      <c r="G59" s="17"/>
      <c r="H59" s="17"/>
    </row>
    <row r="60" customFormat="false" ht="15" hidden="false" customHeight="false" outlineLevel="0" collapsed="false">
      <c r="A60" s="14" t="s">
        <v>1241</v>
      </c>
      <c r="B60" s="14" t="s">
        <v>181</v>
      </c>
      <c r="C60" s="14" t="s">
        <v>375</v>
      </c>
      <c r="D60" s="14"/>
      <c r="E60" s="15"/>
      <c r="F60" s="16"/>
      <c r="G60" s="17"/>
      <c r="H60" s="17"/>
    </row>
    <row r="61" customFormat="false" ht="15" hidden="false" customHeight="false" outlineLevel="0" collapsed="false">
      <c r="A61" s="14" t="s">
        <v>383</v>
      </c>
      <c r="B61" s="14" t="s">
        <v>181</v>
      </c>
      <c r="C61" s="14" t="s">
        <v>382</v>
      </c>
      <c r="D61" s="14"/>
      <c r="E61" s="15"/>
      <c r="F61" s="16"/>
      <c r="G61" s="17"/>
      <c r="H61" s="17"/>
    </row>
    <row r="62" customFormat="false" ht="15" hidden="false" customHeight="false" outlineLevel="0" collapsed="false">
      <c r="A62" s="14" t="s">
        <v>1242</v>
      </c>
      <c r="B62" s="14" t="s">
        <v>181</v>
      </c>
      <c r="C62" s="14" t="s">
        <v>382</v>
      </c>
      <c r="D62" s="14"/>
      <c r="E62" s="15"/>
      <c r="F62" s="16"/>
      <c r="G62" s="17"/>
      <c r="H62" s="17"/>
    </row>
    <row r="63" customFormat="false" ht="15" hidden="false" customHeight="false" outlineLevel="0" collapsed="false">
      <c r="A63" s="14" t="s">
        <v>1243</v>
      </c>
      <c r="B63" s="14" t="s">
        <v>181</v>
      </c>
      <c r="C63" s="14" t="s">
        <v>382</v>
      </c>
      <c r="D63" s="14"/>
      <c r="E63" s="15"/>
      <c r="F63" s="16"/>
      <c r="G63" s="17"/>
      <c r="H63" s="17"/>
    </row>
    <row r="64" customFormat="false" ht="15" hidden="false" customHeight="false" outlineLevel="0" collapsed="false">
      <c r="A64" s="14" t="s">
        <v>1244</v>
      </c>
      <c r="B64" s="14" t="s">
        <v>181</v>
      </c>
      <c r="C64" s="14" t="s">
        <v>382</v>
      </c>
      <c r="D64" s="14"/>
      <c r="E64" s="15"/>
      <c r="F64" s="16"/>
      <c r="G64" s="17"/>
      <c r="H64" s="17"/>
    </row>
    <row r="65" customFormat="false" ht="15" hidden="false" customHeight="false" outlineLevel="0" collapsed="false">
      <c r="A65" s="14" t="s">
        <v>392</v>
      </c>
      <c r="B65" s="14" t="s">
        <v>181</v>
      </c>
      <c r="C65" s="14" t="s">
        <v>391</v>
      </c>
      <c r="D65" s="14"/>
      <c r="E65" s="15"/>
      <c r="F65" s="16"/>
      <c r="G65" s="17"/>
      <c r="H65" s="17"/>
    </row>
    <row r="66" customFormat="false" ht="15" hidden="false" customHeight="false" outlineLevel="0" collapsed="false">
      <c r="A66" s="14" t="s">
        <v>1245</v>
      </c>
      <c r="B66" s="14" t="s">
        <v>181</v>
      </c>
      <c r="C66" s="14" t="s">
        <v>391</v>
      </c>
      <c r="D66" s="14"/>
      <c r="E66" s="15"/>
      <c r="F66" s="16"/>
      <c r="G66" s="17"/>
      <c r="H66" s="17"/>
    </row>
    <row r="67" customFormat="false" ht="15" hidden="false" customHeight="false" outlineLevel="0" collapsed="false">
      <c r="A67" s="14" t="s">
        <v>1246</v>
      </c>
      <c r="B67" s="14" t="s">
        <v>181</v>
      </c>
      <c r="C67" s="14" t="s">
        <v>391</v>
      </c>
      <c r="D67" s="14"/>
      <c r="E67" s="15"/>
      <c r="F67" s="16"/>
      <c r="G67" s="17"/>
      <c r="H67" s="17"/>
    </row>
    <row r="68" customFormat="false" ht="15" hidden="false" customHeight="false" outlineLevel="0" collapsed="false">
      <c r="A68" s="14" t="s">
        <v>1247</v>
      </c>
      <c r="B68" s="14" t="s">
        <v>181</v>
      </c>
      <c r="C68" s="14" t="s">
        <v>391</v>
      </c>
      <c r="D68" s="14"/>
      <c r="E68" s="15"/>
      <c r="F68" s="16"/>
      <c r="G68" s="17"/>
      <c r="H68" s="17"/>
    </row>
    <row r="69" customFormat="false" ht="15" hidden="false" customHeight="false" outlineLevel="0" collapsed="false">
      <c r="A69" s="14" t="s">
        <v>399</v>
      </c>
      <c r="B69" s="14" t="s">
        <v>181</v>
      </c>
      <c r="C69" s="14" t="s">
        <v>398</v>
      </c>
      <c r="D69" s="14"/>
      <c r="E69" s="15"/>
      <c r="F69" s="16"/>
      <c r="G69" s="17"/>
      <c r="H69" s="17"/>
    </row>
    <row r="70" customFormat="false" ht="15" hidden="false" customHeight="false" outlineLevel="0" collapsed="false">
      <c r="A70" s="14" t="s">
        <v>1248</v>
      </c>
      <c r="B70" s="14" t="s">
        <v>181</v>
      </c>
      <c r="C70" s="14" t="s">
        <v>398</v>
      </c>
      <c r="D70" s="14"/>
      <c r="E70" s="15"/>
      <c r="F70" s="16"/>
      <c r="G70" s="17"/>
      <c r="H70" s="17"/>
    </row>
    <row r="71" customFormat="false" ht="15" hidden="false" customHeight="false" outlineLevel="0" collapsed="false">
      <c r="A71" s="14" t="s">
        <v>1249</v>
      </c>
      <c r="B71" s="14" t="s">
        <v>181</v>
      </c>
      <c r="C71" s="14" t="s">
        <v>398</v>
      </c>
      <c r="D71" s="14"/>
      <c r="E71" s="15"/>
      <c r="F71" s="16"/>
      <c r="G71" s="17"/>
      <c r="H71" s="17"/>
    </row>
    <row r="72" customFormat="false" ht="15" hidden="false" customHeight="false" outlineLevel="0" collapsed="false">
      <c r="A72" s="14" t="s">
        <v>1250</v>
      </c>
      <c r="B72" s="14" t="s">
        <v>181</v>
      </c>
      <c r="C72" s="14" t="s">
        <v>398</v>
      </c>
      <c r="D72" s="14"/>
      <c r="E72" s="15"/>
      <c r="F72" s="16"/>
      <c r="G72" s="17"/>
      <c r="H72" s="17"/>
    </row>
    <row r="73" customFormat="false" ht="15" hidden="false" customHeight="false" outlineLevel="0" collapsed="false">
      <c r="A73" s="14" t="s">
        <v>1251</v>
      </c>
      <c r="B73" s="14" t="s">
        <v>181</v>
      </c>
      <c r="C73" s="14" t="s">
        <v>398</v>
      </c>
      <c r="D73" s="14"/>
      <c r="E73" s="15"/>
      <c r="F73" s="16"/>
      <c r="G73" s="17"/>
      <c r="H73" s="17"/>
    </row>
    <row r="74" customFormat="false" ht="15" hidden="false" customHeight="false" outlineLevel="0" collapsed="false">
      <c r="A74" s="14" t="s">
        <v>580</v>
      </c>
      <c r="B74" s="14" t="s">
        <v>181</v>
      </c>
      <c r="C74" s="14" t="s">
        <v>579</v>
      </c>
      <c r="D74" s="14"/>
      <c r="E74" s="15"/>
      <c r="F74" s="16"/>
      <c r="G74" s="17"/>
      <c r="H74" s="17"/>
    </row>
    <row r="75" customFormat="false" ht="15" hidden="false" customHeight="false" outlineLevel="0" collapsed="false">
      <c r="A75" s="14" t="s">
        <v>1252</v>
      </c>
      <c r="B75" s="14" t="s">
        <v>181</v>
      </c>
      <c r="C75" s="14" t="s">
        <v>579</v>
      </c>
      <c r="D75" s="14"/>
      <c r="E75" s="15"/>
      <c r="F75" s="16"/>
      <c r="G75" s="17"/>
      <c r="H75" s="17"/>
    </row>
    <row r="76" customFormat="false" ht="15" hidden="false" customHeight="false" outlineLevel="0" collapsed="false">
      <c r="A76" s="14" t="s">
        <v>1253</v>
      </c>
      <c r="B76" s="14" t="s">
        <v>181</v>
      </c>
      <c r="C76" s="14" t="s">
        <v>579</v>
      </c>
      <c r="D76" s="14"/>
      <c r="E76" s="15"/>
      <c r="F76" s="16"/>
      <c r="G76" s="17"/>
      <c r="H76" s="17"/>
    </row>
    <row r="77" customFormat="false" ht="15" hidden="false" customHeight="false" outlineLevel="0" collapsed="false">
      <c r="A77" s="14" t="s">
        <v>1254</v>
      </c>
      <c r="B77" s="14" t="s">
        <v>181</v>
      </c>
      <c r="C77" s="14" t="s">
        <v>579</v>
      </c>
      <c r="D77" s="14"/>
      <c r="E77" s="15"/>
      <c r="F77" s="16"/>
      <c r="G77" s="17"/>
      <c r="H77" s="17"/>
    </row>
    <row r="78" customFormat="false" ht="15" hidden="false" customHeight="false" outlineLevel="0" collapsed="false">
      <c r="A78" s="14" t="s">
        <v>587</v>
      </c>
      <c r="B78" s="14" t="s">
        <v>181</v>
      </c>
      <c r="C78" s="14" t="s">
        <v>586</v>
      </c>
      <c r="D78" s="14"/>
      <c r="E78" s="15"/>
      <c r="F78" s="16"/>
      <c r="G78" s="17"/>
      <c r="H78" s="17"/>
    </row>
    <row r="79" customFormat="false" ht="15" hidden="false" customHeight="false" outlineLevel="0" collapsed="false">
      <c r="A79" s="14" t="s">
        <v>1255</v>
      </c>
      <c r="B79" s="14" t="s">
        <v>181</v>
      </c>
      <c r="C79" s="14" t="s">
        <v>586</v>
      </c>
      <c r="D79" s="14"/>
      <c r="E79" s="15"/>
      <c r="F79" s="16"/>
      <c r="G79" s="17"/>
      <c r="H79" s="17"/>
    </row>
    <row r="80" customFormat="false" ht="15" hidden="false" customHeight="false" outlineLevel="0" collapsed="false">
      <c r="A80" s="14" t="s">
        <v>1256</v>
      </c>
      <c r="B80" s="14" t="s">
        <v>181</v>
      </c>
      <c r="C80" s="14" t="s">
        <v>586</v>
      </c>
      <c r="D80" s="14"/>
      <c r="E80" s="15"/>
      <c r="F80" s="16"/>
      <c r="G80" s="17"/>
      <c r="H80" s="17"/>
    </row>
    <row r="81" customFormat="false" ht="15" hidden="false" customHeight="false" outlineLevel="0" collapsed="false">
      <c r="A81" s="14" t="s">
        <v>1257</v>
      </c>
      <c r="B81" s="14" t="s">
        <v>181</v>
      </c>
      <c r="C81" s="14" t="s">
        <v>586</v>
      </c>
      <c r="D81" s="14"/>
      <c r="E81" s="15"/>
      <c r="F81" s="16"/>
      <c r="G81" s="17"/>
      <c r="H81" s="17"/>
    </row>
    <row r="82" customFormat="false" ht="15" hidden="false" customHeight="false" outlineLevel="0" collapsed="false">
      <c r="A82" s="14" t="s">
        <v>409</v>
      </c>
      <c r="B82" s="14" t="s">
        <v>407</v>
      </c>
      <c r="C82" s="14" t="s">
        <v>408</v>
      </c>
      <c r="D82" s="14"/>
      <c r="E82" s="15"/>
      <c r="F82" s="16"/>
      <c r="G82" s="17"/>
      <c r="H82" s="17"/>
    </row>
    <row r="83" customFormat="false" ht="15" hidden="false" customHeight="false" outlineLevel="0" collapsed="false">
      <c r="A83" s="14" t="s">
        <v>1258</v>
      </c>
      <c r="B83" s="14" t="s">
        <v>407</v>
      </c>
      <c r="C83" s="14" t="s">
        <v>408</v>
      </c>
      <c r="D83" s="14"/>
      <c r="E83" s="15"/>
      <c r="F83" s="16"/>
      <c r="G83" s="17"/>
      <c r="H83" s="17"/>
    </row>
    <row r="84" customFormat="false" ht="15" hidden="false" customHeight="false" outlineLevel="0" collapsed="false">
      <c r="A84" s="14" t="s">
        <v>1259</v>
      </c>
      <c r="B84" s="14" t="s">
        <v>407</v>
      </c>
      <c r="C84" s="14" t="s">
        <v>408</v>
      </c>
      <c r="D84" s="14"/>
      <c r="E84" s="15"/>
      <c r="F84" s="16"/>
      <c r="G84" s="17"/>
      <c r="H84" s="17"/>
    </row>
    <row r="85" customFormat="false" ht="15" hidden="false" customHeight="false" outlineLevel="0" collapsed="false">
      <c r="A85" s="14" t="s">
        <v>421</v>
      </c>
      <c r="B85" s="14" t="s">
        <v>407</v>
      </c>
      <c r="C85" s="14" t="s">
        <v>420</v>
      </c>
      <c r="D85" s="14"/>
      <c r="E85" s="15"/>
      <c r="F85" s="16"/>
      <c r="G85" s="17"/>
      <c r="H85" s="17"/>
    </row>
    <row r="86" customFormat="false" ht="15" hidden="false" customHeight="false" outlineLevel="0" collapsed="false">
      <c r="A86" s="14" t="s">
        <v>1260</v>
      </c>
      <c r="B86" s="14" t="s">
        <v>407</v>
      </c>
      <c r="C86" s="14" t="s">
        <v>420</v>
      </c>
      <c r="D86" s="14"/>
      <c r="E86" s="15"/>
      <c r="F86" s="16"/>
      <c r="G86" s="17"/>
      <c r="H86" s="17"/>
    </row>
    <row r="87" customFormat="false" ht="15" hidden="false" customHeight="false" outlineLevel="0" collapsed="false">
      <c r="A87" s="14" t="s">
        <v>1261</v>
      </c>
      <c r="B87" s="14" t="s">
        <v>407</v>
      </c>
      <c r="C87" s="14" t="s">
        <v>420</v>
      </c>
      <c r="D87" s="14"/>
      <c r="E87" s="15"/>
      <c r="F87" s="16"/>
      <c r="G87" s="17"/>
      <c r="H87" s="17"/>
    </row>
    <row r="88" customFormat="false" ht="15" hidden="false" customHeight="false" outlineLevel="0" collapsed="false">
      <c r="A88" s="14" t="s">
        <v>428</v>
      </c>
      <c r="B88" s="14" t="s">
        <v>407</v>
      </c>
      <c r="C88" s="14" t="s">
        <v>427</v>
      </c>
      <c r="D88" s="14"/>
      <c r="E88" s="15"/>
      <c r="F88" s="16"/>
      <c r="G88" s="17"/>
      <c r="H88" s="17"/>
    </row>
    <row r="89" customFormat="false" ht="15" hidden="false" customHeight="false" outlineLevel="0" collapsed="false">
      <c r="A89" s="14" t="s">
        <v>1262</v>
      </c>
      <c r="B89" s="14" t="s">
        <v>407</v>
      </c>
      <c r="C89" s="14" t="s">
        <v>427</v>
      </c>
      <c r="D89" s="14"/>
      <c r="E89" s="15"/>
      <c r="F89" s="16"/>
      <c r="G89" s="17"/>
      <c r="H89" s="17"/>
    </row>
    <row r="90" customFormat="false" ht="15" hidden="false" customHeight="false" outlineLevel="0" collapsed="false">
      <c r="A90" s="14" t="s">
        <v>1263</v>
      </c>
      <c r="B90" s="14" t="s">
        <v>407</v>
      </c>
      <c r="C90" s="14" t="s">
        <v>427</v>
      </c>
      <c r="D90" s="14"/>
      <c r="E90" s="15"/>
      <c r="F90" s="16"/>
      <c r="G90" s="17"/>
      <c r="H90" s="17"/>
    </row>
    <row r="91" customFormat="false" ht="15" hidden="false" customHeight="false" outlineLevel="0" collapsed="false">
      <c r="A91" s="14" t="s">
        <v>1264</v>
      </c>
      <c r="B91" s="14" t="s">
        <v>407</v>
      </c>
      <c r="C91" s="14" t="s">
        <v>427</v>
      </c>
      <c r="D91" s="14"/>
      <c r="E91" s="15"/>
      <c r="F91" s="16"/>
      <c r="G91" s="17"/>
      <c r="H91" s="17"/>
    </row>
    <row r="92" customFormat="false" ht="15" hidden="false" customHeight="false" outlineLevel="0" collapsed="false">
      <c r="A92" s="14" t="s">
        <v>435</v>
      </c>
      <c r="B92" s="14" t="s">
        <v>249</v>
      </c>
      <c r="C92" s="14" t="s">
        <v>434</v>
      </c>
      <c r="D92" s="14"/>
      <c r="E92" s="15"/>
      <c r="F92" s="16"/>
      <c r="G92" s="17"/>
      <c r="H92" s="17"/>
    </row>
    <row r="93" customFormat="false" ht="15" hidden="false" customHeight="false" outlineLevel="0" collapsed="false">
      <c r="A93" s="14" t="s">
        <v>436</v>
      </c>
      <c r="B93" s="14" t="s">
        <v>249</v>
      </c>
      <c r="C93" s="14" t="s">
        <v>434</v>
      </c>
      <c r="D93" s="14"/>
      <c r="E93" s="15"/>
      <c r="F93" s="16"/>
      <c r="G93" s="17"/>
      <c r="H93" s="17"/>
    </row>
    <row r="94" customFormat="false" ht="15" hidden="false" customHeight="false" outlineLevel="0" collapsed="false">
      <c r="A94" s="14" t="s">
        <v>442</v>
      </c>
      <c r="B94" s="14" t="s">
        <v>249</v>
      </c>
      <c r="C94" s="14" t="s">
        <v>441</v>
      </c>
      <c r="D94" s="14"/>
      <c r="E94" s="15"/>
      <c r="F94" s="16"/>
      <c r="G94" s="17"/>
      <c r="H94" s="17"/>
    </row>
    <row r="95" customFormat="false" ht="15" hidden="false" customHeight="false" outlineLevel="0" collapsed="false">
      <c r="A95" s="14" t="s">
        <v>443</v>
      </c>
      <c r="B95" s="14" t="s">
        <v>249</v>
      </c>
      <c r="C95" s="14" t="s">
        <v>441</v>
      </c>
      <c r="D95" s="14"/>
      <c r="E95" s="15"/>
      <c r="F95" s="16"/>
      <c r="G95" s="17"/>
      <c r="H95" s="17"/>
    </row>
    <row r="96" customFormat="false" ht="15" hidden="false" customHeight="false" outlineLevel="0" collapsed="false">
      <c r="A96" s="14" t="s">
        <v>447</v>
      </c>
      <c r="B96" s="14" t="s">
        <v>249</v>
      </c>
      <c r="C96" s="14" t="s">
        <v>446</v>
      </c>
      <c r="D96" s="14"/>
      <c r="E96" s="15"/>
      <c r="F96" s="16"/>
      <c r="G96" s="17"/>
      <c r="H96" s="17"/>
    </row>
    <row r="97" customFormat="false" ht="15" hidden="false" customHeight="false" outlineLevel="0" collapsed="false">
      <c r="A97" s="14" t="s">
        <v>1265</v>
      </c>
      <c r="B97" s="14" t="s">
        <v>249</v>
      </c>
      <c r="C97" s="14" t="s">
        <v>446</v>
      </c>
      <c r="D97" s="14"/>
      <c r="E97" s="15"/>
      <c r="F97" s="16"/>
      <c r="G97" s="17"/>
      <c r="H97" s="17"/>
    </row>
    <row r="98" customFormat="false" ht="15" hidden="false" customHeight="false" outlineLevel="0" collapsed="false">
      <c r="A98" s="14" t="s">
        <v>1266</v>
      </c>
      <c r="B98" s="14" t="s">
        <v>249</v>
      </c>
      <c r="C98" s="14" t="s">
        <v>446</v>
      </c>
      <c r="D98" s="14"/>
      <c r="E98" s="15"/>
      <c r="F98" s="16"/>
      <c r="G98" s="17"/>
      <c r="H98" s="17"/>
    </row>
    <row r="99" customFormat="false" ht="15" hidden="false" customHeight="false" outlineLevel="0" collapsed="false">
      <c r="A99" s="14" t="s">
        <v>453</v>
      </c>
      <c r="B99" s="14" t="s">
        <v>249</v>
      </c>
      <c r="C99" s="14" t="s">
        <v>452</v>
      </c>
      <c r="D99" s="14"/>
      <c r="E99" s="15"/>
      <c r="F99" s="16"/>
      <c r="G99" s="17"/>
      <c r="H99" s="17"/>
    </row>
    <row r="100" customFormat="false" ht="15" hidden="false" customHeight="false" outlineLevel="0" collapsed="false">
      <c r="A100" s="14" t="s">
        <v>1267</v>
      </c>
      <c r="B100" s="14" t="s">
        <v>249</v>
      </c>
      <c r="C100" s="14" t="s">
        <v>452</v>
      </c>
      <c r="D100" s="14"/>
      <c r="E100" s="15"/>
      <c r="F100" s="16"/>
      <c r="G100" s="17"/>
      <c r="H100" s="17"/>
    </row>
    <row r="101" customFormat="false" ht="15" hidden="false" customHeight="false" outlineLevel="0" collapsed="false">
      <c r="A101" s="14" t="s">
        <v>1268</v>
      </c>
      <c r="B101" s="14" t="s">
        <v>249</v>
      </c>
      <c r="C101" s="14" t="s">
        <v>452</v>
      </c>
      <c r="D101" s="14"/>
      <c r="E101" s="15"/>
      <c r="F101" s="16"/>
      <c r="G101" s="17"/>
      <c r="H101" s="17"/>
    </row>
    <row r="102" customFormat="false" ht="15" hidden="false" customHeight="false" outlineLevel="0" collapsed="false">
      <c r="A102" s="14" t="s">
        <v>595</v>
      </c>
      <c r="B102" s="14" t="s">
        <v>249</v>
      </c>
      <c r="C102" s="14" t="s">
        <v>594</v>
      </c>
      <c r="D102" s="14"/>
      <c r="E102" s="15"/>
      <c r="F102" s="16"/>
      <c r="G102" s="17"/>
      <c r="H102" s="17"/>
    </row>
    <row r="103" customFormat="false" ht="15" hidden="false" customHeight="false" outlineLevel="0" collapsed="false">
      <c r="A103" s="14" t="s">
        <v>596</v>
      </c>
      <c r="B103" s="14" t="s">
        <v>249</v>
      </c>
      <c r="C103" s="14" t="s">
        <v>594</v>
      </c>
      <c r="D103" s="14"/>
      <c r="E103" s="15"/>
      <c r="F103" s="16"/>
      <c r="G103" s="17"/>
      <c r="H103" s="17"/>
    </row>
    <row r="104" customFormat="false" ht="15" hidden="false" customHeight="false" outlineLevel="0" collapsed="false">
      <c r="A104" s="14" t="s">
        <v>602</v>
      </c>
      <c r="B104" s="14" t="s">
        <v>249</v>
      </c>
      <c r="C104" s="14" t="s">
        <v>601</v>
      </c>
      <c r="D104" s="14"/>
      <c r="E104" s="15"/>
      <c r="F104" s="16"/>
      <c r="G104" s="17"/>
      <c r="H104" s="17"/>
    </row>
    <row r="105" customFormat="false" ht="15" hidden="false" customHeight="false" outlineLevel="0" collapsed="false">
      <c r="A105" s="14" t="s">
        <v>603</v>
      </c>
      <c r="B105" s="14" t="s">
        <v>249</v>
      </c>
      <c r="C105" s="14" t="s">
        <v>601</v>
      </c>
      <c r="D105" s="14"/>
      <c r="E105" s="15"/>
      <c r="F105" s="16"/>
      <c r="G105" s="17"/>
      <c r="H105" s="17"/>
    </row>
    <row r="106" customFormat="false" ht="15" hidden="false" customHeight="false" outlineLevel="0" collapsed="false">
      <c r="A106" s="14" t="s">
        <v>459</v>
      </c>
      <c r="B106" s="14" t="s">
        <v>249</v>
      </c>
      <c r="C106" s="14" t="s">
        <v>458</v>
      </c>
      <c r="D106" s="14"/>
      <c r="E106" s="15"/>
      <c r="F106" s="16"/>
      <c r="G106" s="17"/>
      <c r="H106" s="17"/>
    </row>
    <row r="107" customFormat="false" ht="15" hidden="false" customHeight="false" outlineLevel="0" collapsed="false">
      <c r="A107" s="14" t="s">
        <v>460</v>
      </c>
      <c r="B107" s="14" t="s">
        <v>249</v>
      </c>
      <c r="C107" s="14" t="s">
        <v>458</v>
      </c>
      <c r="D107" s="14"/>
      <c r="E107" s="15"/>
      <c r="F107" s="16"/>
      <c r="G107" s="17"/>
      <c r="H107" s="17"/>
    </row>
    <row r="108" customFormat="false" ht="15" hidden="false" customHeight="false" outlineLevel="0" collapsed="false">
      <c r="A108" s="14" t="s">
        <v>465</v>
      </c>
      <c r="B108" s="14" t="s">
        <v>249</v>
      </c>
      <c r="C108" s="14" t="s">
        <v>464</v>
      </c>
      <c r="D108" s="14"/>
      <c r="E108" s="15"/>
      <c r="F108" s="16"/>
      <c r="G108" s="17"/>
      <c r="H108" s="17"/>
    </row>
    <row r="109" customFormat="false" ht="15" hidden="false" customHeight="false" outlineLevel="0" collapsed="false">
      <c r="A109" s="14" t="s">
        <v>1269</v>
      </c>
      <c r="B109" s="14" t="s">
        <v>249</v>
      </c>
      <c r="C109" s="14" t="s">
        <v>464</v>
      </c>
      <c r="D109" s="14"/>
      <c r="E109" s="15"/>
      <c r="F109" s="16"/>
      <c r="G109" s="17"/>
      <c r="H109" s="17"/>
    </row>
    <row r="110" customFormat="false" ht="15" hidden="false" customHeight="false" outlineLevel="0" collapsed="false">
      <c r="A110" s="14" t="s">
        <v>1270</v>
      </c>
      <c r="B110" s="14" t="s">
        <v>249</v>
      </c>
      <c r="C110" s="14" t="s">
        <v>464</v>
      </c>
      <c r="D110" s="14"/>
      <c r="E110" s="15"/>
      <c r="F110" s="16"/>
      <c r="G110" s="17"/>
      <c r="H110" s="17"/>
    </row>
    <row r="111" customFormat="false" ht="15" hidden="false" customHeight="false" outlineLevel="0" collapsed="false">
      <c r="A111" s="14" t="s">
        <v>608</v>
      </c>
      <c r="B111" s="14" t="s">
        <v>249</v>
      </c>
      <c r="C111" s="14" t="s">
        <v>607</v>
      </c>
      <c r="D111" s="14"/>
      <c r="E111" s="15"/>
      <c r="F111" s="16"/>
      <c r="G111" s="17"/>
      <c r="H111" s="17"/>
    </row>
    <row r="112" customFormat="false" ht="15" hidden="false" customHeight="false" outlineLevel="0" collapsed="false">
      <c r="A112" s="14" t="s">
        <v>609</v>
      </c>
      <c r="B112" s="14" t="s">
        <v>249</v>
      </c>
      <c r="C112" s="14" t="s">
        <v>607</v>
      </c>
      <c r="D112" s="14"/>
      <c r="E112" s="15"/>
      <c r="F112" s="16"/>
      <c r="G112" s="17"/>
      <c r="H112" s="17"/>
    </row>
    <row r="113" customFormat="false" ht="15" hidden="false" customHeight="false" outlineLevel="0" collapsed="false">
      <c r="A113" s="14" t="s">
        <v>614</v>
      </c>
      <c r="B113" s="14" t="s">
        <v>249</v>
      </c>
      <c r="C113" s="14" t="s">
        <v>613</v>
      </c>
      <c r="D113" s="14"/>
      <c r="E113" s="15"/>
      <c r="F113" s="16"/>
      <c r="G113" s="17"/>
      <c r="H113" s="17"/>
    </row>
    <row r="114" customFormat="false" ht="15" hidden="false" customHeight="false" outlineLevel="0" collapsed="false">
      <c r="A114" s="14" t="s">
        <v>615</v>
      </c>
      <c r="B114" s="14" t="s">
        <v>249</v>
      </c>
      <c r="C114" s="14" t="s">
        <v>613</v>
      </c>
      <c r="D114" s="14"/>
      <c r="E114" s="15"/>
      <c r="F114" s="16"/>
      <c r="G114" s="17"/>
      <c r="H114" s="17"/>
    </row>
    <row r="115" customFormat="false" ht="15" hidden="false" customHeight="false" outlineLevel="0" collapsed="false">
      <c r="A115" s="14" t="s">
        <v>470</v>
      </c>
      <c r="B115" s="14" t="s">
        <v>249</v>
      </c>
      <c r="C115" s="14" t="s">
        <v>469</v>
      </c>
      <c r="D115" s="14"/>
      <c r="E115" s="15"/>
      <c r="F115" s="16"/>
      <c r="G115" s="17"/>
      <c r="H115" s="17"/>
    </row>
    <row r="116" customFormat="false" ht="15" hidden="false" customHeight="false" outlineLevel="0" collapsed="false">
      <c r="A116" s="14" t="s">
        <v>471</v>
      </c>
      <c r="B116" s="14" t="s">
        <v>249</v>
      </c>
      <c r="C116" s="14" t="s">
        <v>469</v>
      </c>
      <c r="D116" s="14"/>
      <c r="E116" s="15"/>
      <c r="F116" s="16"/>
      <c r="G116" s="17"/>
      <c r="H116" s="17"/>
    </row>
    <row r="117" customFormat="false" ht="15" hidden="false" customHeight="false" outlineLevel="0" collapsed="false">
      <c r="A117" s="14" t="s">
        <v>476</v>
      </c>
      <c r="B117" s="14" t="s">
        <v>249</v>
      </c>
      <c r="C117" s="14" t="s">
        <v>475</v>
      </c>
      <c r="D117" s="14"/>
      <c r="E117" s="15"/>
      <c r="F117" s="16"/>
      <c r="G117" s="17"/>
      <c r="H117" s="17"/>
    </row>
    <row r="118" customFormat="false" ht="15" hidden="false" customHeight="false" outlineLevel="0" collapsed="false">
      <c r="A118" s="14" t="s">
        <v>1271</v>
      </c>
      <c r="B118" s="14" t="s">
        <v>249</v>
      </c>
      <c r="C118" s="14" t="s">
        <v>475</v>
      </c>
      <c r="D118" s="14"/>
      <c r="E118" s="15"/>
      <c r="F118" s="16"/>
      <c r="G118" s="17"/>
      <c r="H118" s="17"/>
    </row>
    <row r="119" customFormat="false" ht="15" hidden="false" customHeight="false" outlineLevel="0" collapsed="false">
      <c r="A119" s="14" t="s">
        <v>1272</v>
      </c>
      <c r="B119" s="14" t="s">
        <v>249</v>
      </c>
      <c r="C119" s="14" t="s">
        <v>475</v>
      </c>
      <c r="D119" s="14"/>
      <c r="E119" s="15"/>
      <c r="F119" s="16"/>
      <c r="G119" s="17"/>
      <c r="H119" s="17"/>
    </row>
    <row r="120" customFormat="false" ht="15" hidden="false" customHeight="false" outlineLevel="0" collapsed="false">
      <c r="A120" s="14" t="s">
        <v>620</v>
      </c>
      <c r="B120" s="14" t="s">
        <v>249</v>
      </c>
      <c r="C120" s="14" t="s">
        <v>619</v>
      </c>
      <c r="D120" s="14"/>
      <c r="E120" s="15"/>
      <c r="F120" s="16"/>
      <c r="G120" s="17"/>
      <c r="H120" s="17"/>
    </row>
    <row r="121" customFormat="false" ht="15" hidden="false" customHeight="false" outlineLevel="0" collapsed="false">
      <c r="A121" s="14" t="s">
        <v>621</v>
      </c>
      <c r="B121" s="14" t="s">
        <v>249</v>
      </c>
      <c r="C121" s="14" t="s">
        <v>619</v>
      </c>
      <c r="D121" s="14"/>
      <c r="E121" s="15"/>
      <c r="F121" s="16"/>
      <c r="G121" s="17"/>
      <c r="H121" s="17"/>
    </row>
    <row r="122" customFormat="false" ht="15" hidden="false" customHeight="false" outlineLevel="0" collapsed="false">
      <c r="A122" s="14" t="s">
        <v>481</v>
      </c>
      <c r="B122" s="14" t="s">
        <v>249</v>
      </c>
      <c r="C122" s="14" t="s">
        <v>480</v>
      </c>
      <c r="D122" s="14"/>
      <c r="E122" s="15"/>
      <c r="F122" s="16"/>
      <c r="G122" s="17"/>
      <c r="H122" s="17"/>
    </row>
    <row r="123" customFormat="false" ht="15" hidden="false" customHeight="false" outlineLevel="0" collapsed="false">
      <c r="A123" s="14" t="s">
        <v>482</v>
      </c>
      <c r="B123" s="14" t="s">
        <v>249</v>
      </c>
      <c r="C123" s="14" t="s">
        <v>480</v>
      </c>
      <c r="D123" s="14"/>
      <c r="E123" s="15"/>
      <c r="F123" s="16"/>
      <c r="G123" s="17"/>
      <c r="H123" s="17"/>
    </row>
    <row r="124" customFormat="false" ht="15" hidden="false" customHeight="false" outlineLevel="0" collapsed="false">
      <c r="A124" s="14" t="s">
        <v>489</v>
      </c>
      <c r="B124" s="14" t="s">
        <v>249</v>
      </c>
      <c r="C124" s="14" t="s">
        <v>488</v>
      </c>
      <c r="D124" s="14"/>
      <c r="E124" s="15"/>
      <c r="F124" s="16"/>
      <c r="G124" s="17"/>
      <c r="H124" s="17"/>
    </row>
    <row r="125" customFormat="false" ht="15" hidden="false" customHeight="false" outlineLevel="0" collapsed="false">
      <c r="A125" s="14" t="s">
        <v>1273</v>
      </c>
      <c r="B125" s="14" t="s">
        <v>249</v>
      </c>
      <c r="C125" s="14" t="s">
        <v>488</v>
      </c>
      <c r="D125" s="14"/>
      <c r="E125" s="15"/>
      <c r="F125" s="16"/>
      <c r="G125" s="17"/>
      <c r="H125" s="17"/>
    </row>
    <row r="126" customFormat="false" ht="15" hidden="false" customHeight="false" outlineLevel="0" collapsed="false">
      <c r="A126" s="14" t="s">
        <v>1274</v>
      </c>
      <c r="B126" s="14" t="s">
        <v>249</v>
      </c>
      <c r="C126" s="14" t="s">
        <v>488</v>
      </c>
      <c r="D126" s="14"/>
      <c r="E126" s="15"/>
      <c r="F126" s="16"/>
      <c r="G126" s="17"/>
      <c r="H126" s="17"/>
    </row>
    <row r="127" customFormat="false" ht="15" hidden="false" customHeight="false" outlineLevel="0" collapsed="false">
      <c r="A127" s="14" t="s">
        <v>627</v>
      </c>
      <c r="B127" s="14" t="s">
        <v>249</v>
      </c>
      <c r="C127" s="14" t="s">
        <v>626</v>
      </c>
      <c r="D127" s="14"/>
      <c r="E127" s="15"/>
      <c r="F127" s="16"/>
      <c r="G127" s="17"/>
      <c r="H127" s="17"/>
    </row>
    <row r="128" customFormat="false" ht="15" hidden="false" customHeight="false" outlineLevel="0" collapsed="false">
      <c r="A128" s="14" t="s">
        <v>628</v>
      </c>
      <c r="B128" s="14" t="s">
        <v>249</v>
      </c>
      <c r="C128" s="14" t="s">
        <v>626</v>
      </c>
      <c r="D128" s="14"/>
      <c r="E128" s="15"/>
      <c r="F128" s="16"/>
      <c r="G128" s="17"/>
      <c r="H128" s="17"/>
    </row>
    <row r="129" customFormat="false" ht="15" hidden="false" customHeight="false" outlineLevel="0" collapsed="false">
      <c r="A129" s="14" t="s">
        <v>633</v>
      </c>
      <c r="B129" s="14" t="s">
        <v>249</v>
      </c>
      <c r="C129" s="14" t="s">
        <v>632</v>
      </c>
      <c r="D129" s="14"/>
      <c r="E129" s="15"/>
      <c r="F129" s="16"/>
      <c r="G129" s="17"/>
      <c r="H129" s="17"/>
    </row>
    <row r="130" customFormat="false" ht="15" hidden="false" customHeight="false" outlineLevel="0" collapsed="false">
      <c r="A130" s="14" t="s">
        <v>634</v>
      </c>
      <c r="B130" s="14" t="s">
        <v>249</v>
      </c>
      <c r="C130" s="14" t="s">
        <v>632</v>
      </c>
      <c r="D130" s="14"/>
      <c r="E130" s="15"/>
      <c r="F130" s="16"/>
      <c r="G130" s="17"/>
      <c r="H130" s="17"/>
    </row>
    <row r="131" customFormat="false" ht="15" hidden="false" customHeight="false" outlineLevel="0" collapsed="false">
      <c r="A131" s="14" t="s">
        <v>251</v>
      </c>
      <c r="B131" s="14" t="s">
        <v>249</v>
      </c>
      <c r="C131" s="14" t="s">
        <v>250</v>
      </c>
      <c r="D131" s="14"/>
      <c r="E131" s="15"/>
      <c r="F131" s="16"/>
      <c r="G131" s="17"/>
      <c r="H131" s="17"/>
    </row>
    <row r="132" customFormat="false" ht="15" hidden="false" customHeight="false" outlineLevel="0" collapsed="false">
      <c r="A132" s="14" t="s">
        <v>1275</v>
      </c>
      <c r="B132" s="14" t="s">
        <v>249</v>
      </c>
      <c r="C132" s="14" t="s">
        <v>250</v>
      </c>
      <c r="D132" s="14"/>
      <c r="E132" s="15"/>
      <c r="F132" s="16"/>
      <c r="G132" s="17"/>
      <c r="H132" s="17"/>
    </row>
    <row r="133" customFormat="false" ht="15" hidden="false" customHeight="false" outlineLevel="0" collapsed="false">
      <c r="A133" s="14" t="s">
        <v>1276</v>
      </c>
      <c r="B133" s="14" t="s">
        <v>249</v>
      </c>
      <c r="C133" s="14" t="s">
        <v>250</v>
      </c>
      <c r="D133" s="14"/>
      <c r="E133" s="15"/>
      <c r="F133" s="16"/>
      <c r="G133" s="17"/>
      <c r="H133" s="17"/>
    </row>
    <row r="134" customFormat="false" ht="15" hidden="false" customHeight="false" outlineLevel="0" collapsed="false">
      <c r="A134" s="14" t="s">
        <v>263</v>
      </c>
      <c r="B134" s="14" t="s">
        <v>261</v>
      </c>
      <c r="C134" s="14" t="s">
        <v>262</v>
      </c>
      <c r="D134" s="14"/>
      <c r="E134" s="15"/>
      <c r="F134" s="16"/>
      <c r="G134" s="17"/>
      <c r="H134" s="17"/>
    </row>
    <row r="135" customFormat="false" ht="15" hidden="false" customHeight="false" outlineLevel="0" collapsed="false">
      <c r="A135" s="14" t="s">
        <v>1277</v>
      </c>
      <c r="B135" s="14" t="s">
        <v>261</v>
      </c>
      <c r="C135" s="14" t="s">
        <v>262</v>
      </c>
      <c r="D135" s="14"/>
      <c r="E135" s="15"/>
      <c r="F135" s="16"/>
      <c r="G135" s="17"/>
      <c r="H135" s="17"/>
    </row>
    <row r="136" customFormat="false" ht="15" hidden="false" customHeight="false" outlineLevel="0" collapsed="false">
      <c r="A136" s="14" t="s">
        <v>1278</v>
      </c>
      <c r="B136" s="14" t="s">
        <v>261</v>
      </c>
      <c r="C136" s="14" t="s">
        <v>262</v>
      </c>
      <c r="D136" s="14"/>
      <c r="E136" s="15"/>
      <c r="F136" s="16"/>
      <c r="G136" s="17"/>
      <c r="H136" s="17"/>
    </row>
    <row r="137" customFormat="false" ht="15" hidden="false" customHeight="false" outlineLevel="0" collapsed="false">
      <c r="A137" s="14" t="s">
        <v>1279</v>
      </c>
      <c r="B137" s="14" t="s">
        <v>261</v>
      </c>
      <c r="C137" s="14" t="s">
        <v>262</v>
      </c>
      <c r="D137" s="14"/>
      <c r="E137" s="15"/>
      <c r="F137" s="16"/>
      <c r="G137" s="17"/>
      <c r="H137" s="17"/>
    </row>
    <row r="138" customFormat="false" ht="15" hidden="false" customHeight="false" outlineLevel="0" collapsed="false">
      <c r="A138" s="14" t="s">
        <v>730</v>
      </c>
      <c r="B138" s="14" t="s">
        <v>567</v>
      </c>
      <c r="C138" s="14" t="s">
        <v>729</v>
      </c>
      <c r="D138" s="14" t="s">
        <v>1280</v>
      </c>
      <c r="E138" s="15"/>
      <c r="F138" s="16"/>
      <c r="G138" s="17"/>
      <c r="H138" s="17"/>
    </row>
    <row r="139" customFormat="false" ht="15" hidden="false" customHeight="false" outlineLevel="0" collapsed="false">
      <c r="A139" s="14" t="s">
        <v>738</v>
      </c>
      <c r="B139" s="14" t="s">
        <v>567</v>
      </c>
      <c r="C139" s="14" t="s">
        <v>737</v>
      </c>
      <c r="D139" s="14" t="s">
        <v>1280</v>
      </c>
      <c r="E139" s="15"/>
      <c r="F139" s="16"/>
      <c r="G139" s="17"/>
      <c r="H139" s="17"/>
    </row>
    <row r="140" customFormat="false" ht="15" hidden="false" customHeight="false" outlineLevel="0" collapsed="false">
      <c r="A140" s="14" t="s">
        <v>745</v>
      </c>
      <c r="B140" s="14" t="s">
        <v>567</v>
      </c>
      <c r="C140" s="14" t="s">
        <v>744</v>
      </c>
      <c r="D140" s="14" t="s">
        <v>1280</v>
      </c>
      <c r="E140" s="15"/>
      <c r="F140" s="16"/>
      <c r="G140" s="17"/>
      <c r="H140" s="17"/>
    </row>
    <row r="141" customFormat="false" ht="15" hidden="false" customHeight="false" outlineLevel="0" collapsed="false">
      <c r="A141" s="14" t="s">
        <v>274</v>
      </c>
      <c r="B141" s="14" t="s">
        <v>261</v>
      </c>
      <c r="C141" s="14" t="s">
        <v>273</v>
      </c>
      <c r="D141" s="14"/>
      <c r="E141" s="15"/>
      <c r="F141" s="16"/>
      <c r="G141" s="17"/>
      <c r="H141" s="17"/>
    </row>
    <row r="142" customFormat="false" ht="15" hidden="false" customHeight="false" outlineLevel="0" collapsed="false">
      <c r="A142" s="14" t="s">
        <v>1281</v>
      </c>
      <c r="B142" s="14" t="s">
        <v>261</v>
      </c>
      <c r="C142" s="14" t="s">
        <v>273</v>
      </c>
      <c r="D142" s="14"/>
      <c r="E142" s="15"/>
      <c r="F142" s="16"/>
      <c r="G142" s="17"/>
      <c r="H142" s="17"/>
    </row>
    <row r="143" customFormat="false" ht="15" hidden="false" customHeight="false" outlineLevel="0" collapsed="false">
      <c r="A143" s="14" t="s">
        <v>1282</v>
      </c>
      <c r="B143" s="14" t="s">
        <v>261</v>
      </c>
      <c r="C143" s="14" t="s">
        <v>273</v>
      </c>
      <c r="D143" s="14"/>
      <c r="E143" s="15"/>
      <c r="F143" s="16"/>
      <c r="G143" s="17"/>
      <c r="H143" s="17"/>
    </row>
    <row r="144" customFormat="false" ht="15" hidden="false" customHeight="false" outlineLevel="0" collapsed="false">
      <c r="A144" s="14" t="s">
        <v>1283</v>
      </c>
      <c r="B144" s="14" t="s">
        <v>261</v>
      </c>
      <c r="C144" s="14" t="s">
        <v>273</v>
      </c>
      <c r="D144" s="14"/>
      <c r="E144" s="15"/>
      <c r="F144" s="16"/>
      <c r="G144" s="17"/>
      <c r="H144" s="17"/>
    </row>
    <row r="145" customFormat="false" ht="15" hidden="false" customHeight="false" outlineLevel="0" collapsed="false">
      <c r="A145" s="14" t="s">
        <v>569</v>
      </c>
      <c r="B145" s="14" t="s">
        <v>567</v>
      </c>
      <c r="C145" s="14" t="s">
        <v>568</v>
      </c>
      <c r="D145" s="14" t="s">
        <v>1280</v>
      </c>
      <c r="E145" s="15"/>
      <c r="F145" s="16"/>
      <c r="G145" s="17"/>
      <c r="H145" s="17"/>
    </row>
    <row r="146" customFormat="false" ht="15" hidden="false" customHeight="false" outlineLevel="0" collapsed="false">
      <c r="A146" s="14" t="s">
        <v>752</v>
      </c>
      <c r="B146" s="14" t="s">
        <v>567</v>
      </c>
      <c r="C146" s="14" t="s">
        <v>751</v>
      </c>
      <c r="D146" s="14" t="s">
        <v>1280</v>
      </c>
      <c r="E146" s="15"/>
      <c r="F146" s="16"/>
      <c r="G146" s="17"/>
      <c r="H146" s="17"/>
    </row>
    <row r="147" customFormat="false" ht="15" hidden="false" customHeight="false" outlineLevel="0" collapsed="false">
      <c r="A147" s="14" t="s">
        <v>759</v>
      </c>
      <c r="B147" s="14" t="s">
        <v>567</v>
      </c>
      <c r="C147" s="14" t="s">
        <v>758</v>
      </c>
      <c r="D147" s="14" t="s">
        <v>1280</v>
      </c>
      <c r="E147" s="15"/>
      <c r="F147" s="16"/>
      <c r="G147" s="17"/>
      <c r="H147" s="17"/>
    </row>
    <row r="148" customFormat="false" ht="15" hidden="false" customHeight="false" outlineLevel="0" collapsed="false">
      <c r="A148" s="14" t="s">
        <v>495</v>
      </c>
      <c r="B148" s="14" t="s">
        <v>261</v>
      </c>
      <c r="C148" s="14" t="s">
        <v>494</v>
      </c>
      <c r="D148" s="14"/>
      <c r="E148" s="15"/>
      <c r="F148" s="16"/>
      <c r="G148" s="17"/>
      <c r="H148" s="17"/>
    </row>
    <row r="149" customFormat="false" ht="15" hidden="false" customHeight="false" outlineLevel="0" collapsed="false">
      <c r="A149" s="14" t="s">
        <v>1284</v>
      </c>
      <c r="B149" s="14" t="s">
        <v>261</v>
      </c>
      <c r="C149" s="14" t="s">
        <v>494</v>
      </c>
      <c r="D149" s="14"/>
      <c r="E149" s="15"/>
      <c r="F149" s="16"/>
      <c r="G149" s="17"/>
      <c r="H149" s="17"/>
    </row>
    <row r="150" customFormat="false" ht="15" hidden="false" customHeight="false" outlineLevel="0" collapsed="false">
      <c r="A150" s="14" t="s">
        <v>1285</v>
      </c>
      <c r="B150" s="14" t="s">
        <v>261</v>
      </c>
      <c r="C150" s="14" t="s">
        <v>494</v>
      </c>
      <c r="D150" s="14"/>
      <c r="E150" s="15"/>
      <c r="F150" s="16"/>
      <c r="G150" s="17"/>
      <c r="H150" s="17"/>
    </row>
    <row r="151" customFormat="false" ht="15" hidden="false" customHeight="false" outlineLevel="0" collapsed="false">
      <c r="A151" s="14" t="s">
        <v>1286</v>
      </c>
      <c r="B151" s="14" t="s">
        <v>261</v>
      </c>
      <c r="C151" s="14" t="s">
        <v>494</v>
      </c>
      <c r="D151" s="14"/>
      <c r="E151" s="15"/>
      <c r="F151" s="16"/>
      <c r="G151" s="17"/>
      <c r="H151" s="17"/>
    </row>
    <row r="152" customFormat="false" ht="15" hidden="false" customHeight="false" outlineLevel="0" collapsed="false">
      <c r="A152" s="14" t="s">
        <v>765</v>
      </c>
      <c r="B152" s="14" t="s">
        <v>567</v>
      </c>
      <c r="C152" s="14" t="s">
        <v>764</v>
      </c>
      <c r="D152" s="14" t="s">
        <v>1280</v>
      </c>
      <c r="E152" s="15"/>
      <c r="F152" s="16"/>
      <c r="G152" s="17"/>
      <c r="H152" s="17"/>
    </row>
    <row r="153" customFormat="false" ht="15" hidden="false" customHeight="false" outlineLevel="0" collapsed="false">
      <c r="A153" s="14" t="s">
        <v>772</v>
      </c>
      <c r="B153" s="14" t="s">
        <v>567</v>
      </c>
      <c r="C153" s="14" t="s">
        <v>771</v>
      </c>
      <c r="D153" s="14" t="s">
        <v>1280</v>
      </c>
      <c r="E153" s="15"/>
      <c r="F153" s="16"/>
      <c r="G153" s="17"/>
      <c r="H153" s="17"/>
    </row>
    <row r="154" customFormat="false" ht="15" hidden="false" customHeight="false" outlineLevel="0" collapsed="false">
      <c r="A154" s="14" t="s">
        <v>779</v>
      </c>
      <c r="B154" s="14" t="s">
        <v>567</v>
      </c>
      <c r="C154" s="14" t="s">
        <v>778</v>
      </c>
      <c r="D154" s="14" t="s">
        <v>1280</v>
      </c>
      <c r="E154" s="15"/>
      <c r="F154" s="16"/>
      <c r="G154" s="17"/>
      <c r="H154" s="17"/>
    </row>
    <row r="155" customFormat="false" ht="15" hidden="false" customHeight="false" outlineLevel="0" collapsed="false">
      <c r="A155" s="14" t="s">
        <v>502</v>
      </c>
      <c r="B155" s="14" t="s">
        <v>261</v>
      </c>
      <c r="C155" s="14" t="s">
        <v>501</v>
      </c>
      <c r="D155" s="14"/>
      <c r="E155" s="15"/>
      <c r="F155" s="16"/>
      <c r="G155" s="17"/>
      <c r="H155" s="17"/>
    </row>
    <row r="156" customFormat="false" ht="15" hidden="false" customHeight="false" outlineLevel="0" collapsed="false">
      <c r="A156" s="14" t="s">
        <v>1287</v>
      </c>
      <c r="B156" s="14" t="s">
        <v>261</v>
      </c>
      <c r="C156" s="14" t="s">
        <v>501</v>
      </c>
      <c r="D156" s="14"/>
      <c r="E156" s="15"/>
      <c r="F156" s="16"/>
      <c r="G156" s="17"/>
      <c r="H156" s="17"/>
    </row>
    <row r="157" customFormat="false" ht="15" hidden="false" customHeight="false" outlineLevel="0" collapsed="false">
      <c r="A157" s="14" t="s">
        <v>1288</v>
      </c>
      <c r="B157" s="14" t="s">
        <v>261</v>
      </c>
      <c r="C157" s="14" t="s">
        <v>501</v>
      </c>
      <c r="D157" s="14"/>
      <c r="E157" s="15"/>
      <c r="F157" s="16"/>
      <c r="G157" s="17"/>
      <c r="H157" s="17"/>
    </row>
    <row r="158" customFormat="false" ht="15" hidden="false" customHeight="false" outlineLevel="0" collapsed="false">
      <c r="A158" s="14" t="s">
        <v>1289</v>
      </c>
      <c r="B158" s="14" t="s">
        <v>261</v>
      </c>
      <c r="C158" s="14" t="s">
        <v>501</v>
      </c>
      <c r="D158" s="14"/>
      <c r="E158" s="15"/>
      <c r="F158" s="16"/>
      <c r="G158" s="17"/>
      <c r="H158" s="17"/>
    </row>
    <row r="159" customFormat="false" ht="15" hidden="false" customHeight="false" outlineLevel="0" collapsed="false">
      <c r="A159" s="14" t="s">
        <v>785</v>
      </c>
      <c r="B159" s="14" t="s">
        <v>567</v>
      </c>
      <c r="C159" s="14" t="s">
        <v>784</v>
      </c>
      <c r="D159" s="14" t="s">
        <v>1280</v>
      </c>
      <c r="E159" s="15"/>
      <c r="F159" s="16"/>
      <c r="G159" s="17"/>
      <c r="H159" s="17"/>
    </row>
    <row r="160" customFormat="false" ht="15" hidden="false" customHeight="false" outlineLevel="0" collapsed="false">
      <c r="A160" s="14" t="s">
        <v>792</v>
      </c>
      <c r="B160" s="14" t="s">
        <v>567</v>
      </c>
      <c r="C160" s="14" t="s">
        <v>791</v>
      </c>
      <c r="D160" s="14" t="s">
        <v>1280</v>
      </c>
      <c r="E160" s="15"/>
      <c r="F160" s="16"/>
      <c r="G160" s="17"/>
      <c r="H160" s="17"/>
    </row>
    <row r="161" customFormat="false" ht="15" hidden="false" customHeight="false" outlineLevel="0" collapsed="false">
      <c r="A161" s="14" t="s">
        <v>799</v>
      </c>
      <c r="B161" s="14" t="s">
        <v>567</v>
      </c>
      <c r="C161" s="14" t="s">
        <v>798</v>
      </c>
      <c r="D161" s="14" t="s">
        <v>1280</v>
      </c>
      <c r="E161" s="15"/>
      <c r="F161" s="16"/>
      <c r="G161" s="17"/>
      <c r="H161" s="17"/>
    </row>
    <row r="162" customFormat="false" ht="15" hidden="false" customHeight="false" outlineLevel="0" collapsed="false">
      <c r="A162" s="14" t="s">
        <v>509</v>
      </c>
      <c r="B162" s="14" t="s">
        <v>261</v>
      </c>
      <c r="C162" s="14" t="s">
        <v>508</v>
      </c>
      <c r="D162" s="14"/>
      <c r="E162" s="15"/>
      <c r="F162" s="16"/>
      <c r="G162" s="17"/>
      <c r="H162" s="17"/>
    </row>
    <row r="163" customFormat="false" ht="15" hidden="false" customHeight="false" outlineLevel="0" collapsed="false">
      <c r="A163" s="14" t="s">
        <v>1290</v>
      </c>
      <c r="B163" s="14" t="s">
        <v>261</v>
      </c>
      <c r="C163" s="14" t="s">
        <v>508</v>
      </c>
      <c r="D163" s="14"/>
      <c r="E163" s="15"/>
      <c r="F163" s="16"/>
      <c r="G163" s="17"/>
      <c r="H163" s="17"/>
    </row>
    <row r="164" customFormat="false" ht="15" hidden="false" customHeight="false" outlineLevel="0" collapsed="false">
      <c r="A164" s="14" t="s">
        <v>1291</v>
      </c>
      <c r="B164" s="14" t="s">
        <v>261</v>
      </c>
      <c r="C164" s="14" t="s">
        <v>508</v>
      </c>
      <c r="D164" s="14"/>
      <c r="E164" s="15"/>
      <c r="F164" s="16"/>
      <c r="G164" s="17"/>
      <c r="H164" s="17"/>
    </row>
    <row r="165" customFormat="false" ht="15" hidden="false" customHeight="false" outlineLevel="0" collapsed="false">
      <c r="A165" s="14" t="s">
        <v>1292</v>
      </c>
      <c r="B165" s="14" t="s">
        <v>261</v>
      </c>
      <c r="C165" s="14" t="s">
        <v>508</v>
      </c>
      <c r="D165" s="14"/>
      <c r="E165" s="15"/>
      <c r="F165" s="16"/>
      <c r="G165" s="17"/>
      <c r="H165" s="17"/>
    </row>
    <row r="166" customFormat="false" ht="15" hidden="false" customHeight="false" outlineLevel="0" collapsed="false">
      <c r="A166" s="14" t="s">
        <v>806</v>
      </c>
      <c r="B166" s="14" t="s">
        <v>567</v>
      </c>
      <c r="C166" s="14" t="s">
        <v>805</v>
      </c>
      <c r="D166" s="14" t="s">
        <v>1280</v>
      </c>
      <c r="E166" s="15"/>
      <c r="F166" s="16"/>
      <c r="G166" s="17"/>
      <c r="H166" s="17"/>
    </row>
    <row r="167" customFormat="false" ht="15" hidden="false" customHeight="false" outlineLevel="0" collapsed="false">
      <c r="A167" s="14" t="s">
        <v>813</v>
      </c>
      <c r="B167" s="14" t="s">
        <v>567</v>
      </c>
      <c r="C167" s="14" t="s">
        <v>812</v>
      </c>
      <c r="D167" s="14" t="s">
        <v>1280</v>
      </c>
      <c r="E167" s="15"/>
      <c r="F167" s="16"/>
      <c r="G167" s="17"/>
      <c r="H167" s="17"/>
    </row>
    <row r="168" customFormat="false" ht="15" hidden="false" customHeight="false" outlineLevel="0" collapsed="false">
      <c r="A168" s="14" t="s">
        <v>820</v>
      </c>
      <c r="B168" s="14" t="s">
        <v>567</v>
      </c>
      <c r="C168" s="14" t="s">
        <v>819</v>
      </c>
      <c r="D168" s="14" t="s">
        <v>1280</v>
      </c>
      <c r="E168" s="15"/>
      <c r="F168" s="16"/>
      <c r="G168" s="17"/>
      <c r="H168" s="17"/>
    </row>
    <row r="169" customFormat="false" ht="15" hidden="false" customHeight="false" outlineLevel="0" collapsed="false">
      <c r="A169" s="14" t="s">
        <v>515</v>
      </c>
      <c r="B169" s="14" t="s">
        <v>261</v>
      </c>
      <c r="C169" s="14" t="s">
        <v>514</v>
      </c>
      <c r="D169" s="14"/>
      <c r="E169" s="15"/>
      <c r="F169" s="16"/>
      <c r="G169" s="17"/>
      <c r="H169" s="17"/>
    </row>
    <row r="170" customFormat="false" ht="15" hidden="false" customHeight="false" outlineLevel="0" collapsed="false">
      <c r="A170" s="14" t="s">
        <v>1293</v>
      </c>
      <c r="B170" s="14" t="s">
        <v>261</v>
      </c>
      <c r="C170" s="14" t="s">
        <v>514</v>
      </c>
      <c r="D170" s="14"/>
      <c r="E170" s="15"/>
      <c r="F170" s="16"/>
      <c r="G170" s="17"/>
      <c r="H170" s="17"/>
    </row>
    <row r="171" customFormat="false" ht="15" hidden="false" customHeight="false" outlineLevel="0" collapsed="false">
      <c r="A171" s="14" t="s">
        <v>1294</v>
      </c>
      <c r="B171" s="14" t="s">
        <v>261</v>
      </c>
      <c r="C171" s="14" t="s">
        <v>514</v>
      </c>
      <c r="D171" s="14"/>
      <c r="E171" s="15"/>
      <c r="F171" s="16"/>
      <c r="G171" s="17"/>
      <c r="H171" s="17"/>
    </row>
    <row r="172" customFormat="false" ht="15" hidden="false" customHeight="false" outlineLevel="0" collapsed="false">
      <c r="A172" s="14" t="s">
        <v>1295</v>
      </c>
      <c r="B172" s="14" t="s">
        <v>261</v>
      </c>
      <c r="C172" s="14" t="s">
        <v>514</v>
      </c>
      <c r="D172" s="14"/>
      <c r="E172" s="15"/>
      <c r="F172" s="16"/>
      <c r="G172" s="17"/>
      <c r="H172" s="17"/>
    </row>
    <row r="173" customFormat="false" ht="15" hidden="false" customHeight="false" outlineLevel="0" collapsed="false">
      <c r="A173" s="14" t="s">
        <v>827</v>
      </c>
      <c r="B173" s="14" t="s">
        <v>567</v>
      </c>
      <c r="C173" s="14" t="s">
        <v>826</v>
      </c>
      <c r="D173" s="14" t="s">
        <v>1280</v>
      </c>
      <c r="E173" s="15"/>
      <c r="F173" s="16"/>
      <c r="G173" s="17"/>
      <c r="H173" s="17"/>
    </row>
    <row r="174" customFormat="false" ht="15" hidden="false" customHeight="false" outlineLevel="0" collapsed="false">
      <c r="A174" s="14" t="s">
        <v>834</v>
      </c>
      <c r="B174" s="14" t="s">
        <v>567</v>
      </c>
      <c r="C174" s="14" t="s">
        <v>833</v>
      </c>
      <c r="D174" s="14" t="s">
        <v>1280</v>
      </c>
      <c r="E174" s="15"/>
      <c r="F174" s="16"/>
      <c r="G174" s="17"/>
      <c r="H174" s="17"/>
    </row>
    <row r="175" customFormat="false" ht="15" hidden="false" customHeight="false" outlineLevel="0" collapsed="false">
      <c r="A175" s="14" t="s">
        <v>841</v>
      </c>
      <c r="B175" s="14" t="s">
        <v>567</v>
      </c>
      <c r="C175" s="14" t="s">
        <v>840</v>
      </c>
      <c r="D175" s="14" t="s">
        <v>1280</v>
      </c>
      <c r="E175" s="15"/>
      <c r="F175" s="16"/>
      <c r="G175" s="17"/>
      <c r="H175" s="17"/>
    </row>
    <row r="176" customFormat="false" ht="15" hidden="false" customHeight="false" outlineLevel="0" collapsed="false">
      <c r="A176" s="14" t="s">
        <v>638</v>
      </c>
      <c r="B176" s="14" t="s">
        <v>261</v>
      </c>
      <c r="C176" s="14" t="s">
        <v>637</v>
      </c>
      <c r="D176" s="14"/>
      <c r="E176" s="15"/>
      <c r="F176" s="16"/>
      <c r="G176" s="17"/>
      <c r="H176" s="17"/>
    </row>
    <row r="177" customFormat="false" ht="15" hidden="false" customHeight="false" outlineLevel="0" collapsed="false">
      <c r="A177" s="14" t="s">
        <v>1296</v>
      </c>
      <c r="B177" s="14" t="s">
        <v>261</v>
      </c>
      <c r="C177" s="14" t="s">
        <v>637</v>
      </c>
      <c r="D177" s="14"/>
      <c r="E177" s="15"/>
      <c r="F177" s="16"/>
      <c r="G177" s="17"/>
      <c r="H177" s="17"/>
    </row>
    <row r="178" customFormat="false" ht="15" hidden="false" customHeight="false" outlineLevel="0" collapsed="false">
      <c r="A178" s="14" t="s">
        <v>1297</v>
      </c>
      <c r="B178" s="14" t="s">
        <v>261</v>
      </c>
      <c r="C178" s="14" t="s">
        <v>637</v>
      </c>
      <c r="D178" s="14"/>
      <c r="E178" s="15"/>
      <c r="F178" s="16"/>
      <c r="G178" s="17"/>
      <c r="H178" s="17"/>
    </row>
    <row r="179" customFormat="false" ht="15" hidden="false" customHeight="false" outlineLevel="0" collapsed="false">
      <c r="A179" s="14" t="s">
        <v>1298</v>
      </c>
      <c r="B179" s="14" t="s">
        <v>261</v>
      </c>
      <c r="C179" s="14" t="s">
        <v>637</v>
      </c>
      <c r="D179" s="14"/>
      <c r="E179" s="15"/>
      <c r="F179" s="16"/>
      <c r="G179" s="17"/>
      <c r="H179" s="17"/>
    </row>
    <row r="180" customFormat="false" ht="15" hidden="false" customHeight="false" outlineLevel="0" collapsed="false">
      <c r="A180" s="14" t="s">
        <v>848</v>
      </c>
      <c r="B180" s="14" t="s">
        <v>567</v>
      </c>
      <c r="C180" s="14" t="s">
        <v>847</v>
      </c>
      <c r="D180" s="14" t="s">
        <v>1280</v>
      </c>
      <c r="E180" s="15"/>
      <c r="F180" s="16"/>
      <c r="G180" s="17"/>
      <c r="H180" s="17"/>
    </row>
    <row r="181" customFormat="false" ht="15" hidden="false" customHeight="false" outlineLevel="0" collapsed="false">
      <c r="A181" s="14" t="s">
        <v>855</v>
      </c>
      <c r="B181" s="14" t="s">
        <v>567</v>
      </c>
      <c r="C181" s="14" t="s">
        <v>854</v>
      </c>
      <c r="D181" s="14" t="s">
        <v>1280</v>
      </c>
      <c r="E181" s="15"/>
      <c r="F181" s="16"/>
      <c r="G181" s="17"/>
      <c r="H181" s="17"/>
    </row>
    <row r="182" customFormat="false" ht="15" hidden="false" customHeight="false" outlineLevel="0" collapsed="false">
      <c r="A182" s="14" t="s">
        <v>862</v>
      </c>
      <c r="B182" s="14" t="s">
        <v>567</v>
      </c>
      <c r="C182" s="14" t="s">
        <v>861</v>
      </c>
      <c r="D182" s="14" t="s">
        <v>1280</v>
      </c>
      <c r="E182" s="15"/>
      <c r="F182" s="16"/>
      <c r="G182" s="17"/>
      <c r="H182" s="17"/>
    </row>
    <row r="183" customFormat="false" ht="15" hidden="false" customHeight="false" outlineLevel="0" collapsed="false">
      <c r="A183" s="14" t="s">
        <v>645</v>
      </c>
      <c r="B183" s="14" t="s">
        <v>261</v>
      </c>
      <c r="C183" s="14" t="s">
        <v>644</v>
      </c>
      <c r="D183" s="14"/>
      <c r="E183" s="15"/>
      <c r="F183" s="16"/>
      <c r="G183" s="17"/>
      <c r="H183" s="17"/>
    </row>
    <row r="184" customFormat="false" ht="15" hidden="false" customHeight="false" outlineLevel="0" collapsed="false">
      <c r="A184" s="14" t="s">
        <v>1299</v>
      </c>
      <c r="B184" s="14" t="s">
        <v>261</v>
      </c>
      <c r="C184" s="14" t="s">
        <v>644</v>
      </c>
      <c r="D184" s="14"/>
      <c r="E184" s="15"/>
      <c r="F184" s="16"/>
      <c r="G184" s="17"/>
      <c r="H184" s="17"/>
    </row>
    <row r="185" customFormat="false" ht="15" hidden="false" customHeight="false" outlineLevel="0" collapsed="false">
      <c r="A185" s="14" t="s">
        <v>1300</v>
      </c>
      <c r="B185" s="14" t="s">
        <v>261</v>
      </c>
      <c r="C185" s="14" t="s">
        <v>644</v>
      </c>
      <c r="D185" s="14"/>
      <c r="E185" s="15"/>
      <c r="F185" s="16"/>
      <c r="G185" s="17"/>
      <c r="H185" s="17"/>
    </row>
    <row r="186" customFormat="false" ht="15" hidden="false" customHeight="false" outlineLevel="0" collapsed="false">
      <c r="A186" s="14" t="s">
        <v>1301</v>
      </c>
      <c r="B186" s="14" t="s">
        <v>261</v>
      </c>
      <c r="C186" s="14" t="s">
        <v>644</v>
      </c>
      <c r="D186" s="14"/>
      <c r="E186" s="15"/>
      <c r="F186" s="16"/>
      <c r="G186" s="17"/>
      <c r="H186" s="17"/>
    </row>
    <row r="187" customFormat="false" ht="15" hidden="false" customHeight="false" outlineLevel="0" collapsed="false">
      <c r="A187" s="14" t="s">
        <v>869</v>
      </c>
      <c r="B187" s="14" t="s">
        <v>567</v>
      </c>
      <c r="C187" s="14" t="s">
        <v>868</v>
      </c>
      <c r="D187" s="14" t="s">
        <v>1280</v>
      </c>
      <c r="E187" s="15"/>
      <c r="F187" s="16"/>
      <c r="G187" s="17"/>
      <c r="H187" s="17"/>
    </row>
    <row r="188" customFormat="false" ht="15" hidden="false" customHeight="false" outlineLevel="0" collapsed="false">
      <c r="A188" s="14" t="s">
        <v>876</v>
      </c>
      <c r="B188" s="14" t="s">
        <v>567</v>
      </c>
      <c r="C188" s="14" t="s">
        <v>875</v>
      </c>
      <c r="D188" s="14" t="s">
        <v>1280</v>
      </c>
      <c r="E188" s="15"/>
      <c r="F188" s="16"/>
      <c r="G188" s="17"/>
      <c r="H188" s="17"/>
    </row>
    <row r="189" customFormat="false" ht="15" hidden="false" customHeight="false" outlineLevel="0" collapsed="false">
      <c r="A189" s="14" t="s">
        <v>883</v>
      </c>
      <c r="B189" s="14" t="s">
        <v>567</v>
      </c>
      <c r="C189" s="14" t="s">
        <v>882</v>
      </c>
      <c r="D189" s="14" t="s">
        <v>1280</v>
      </c>
      <c r="E189" s="15"/>
      <c r="F189" s="16"/>
      <c r="G189" s="17"/>
      <c r="H189" s="17"/>
    </row>
    <row r="190" customFormat="false" ht="15" hidden="false" customHeight="false" outlineLevel="0" collapsed="false">
      <c r="A190" s="14" t="s">
        <v>652</v>
      </c>
      <c r="B190" s="14" t="s">
        <v>261</v>
      </c>
      <c r="C190" s="14" t="s">
        <v>651</v>
      </c>
      <c r="D190" s="14"/>
      <c r="E190" s="15"/>
      <c r="F190" s="16"/>
      <c r="G190" s="17"/>
      <c r="H190" s="17"/>
    </row>
    <row r="191" customFormat="false" ht="15" hidden="false" customHeight="false" outlineLevel="0" collapsed="false">
      <c r="A191" s="14" t="s">
        <v>1302</v>
      </c>
      <c r="B191" s="14" t="s">
        <v>261</v>
      </c>
      <c r="C191" s="14" t="s">
        <v>651</v>
      </c>
      <c r="D191" s="14"/>
      <c r="E191" s="15"/>
      <c r="F191" s="16"/>
      <c r="G191" s="17"/>
      <c r="H191" s="17"/>
    </row>
    <row r="192" customFormat="false" ht="15" hidden="false" customHeight="false" outlineLevel="0" collapsed="false">
      <c r="A192" s="14" t="s">
        <v>1303</v>
      </c>
      <c r="B192" s="14" t="s">
        <v>261</v>
      </c>
      <c r="C192" s="14" t="s">
        <v>651</v>
      </c>
      <c r="D192" s="14"/>
      <c r="E192" s="15"/>
      <c r="F192" s="16"/>
      <c r="G192" s="17"/>
      <c r="H192" s="17"/>
    </row>
    <row r="193" customFormat="false" ht="15" hidden="false" customHeight="false" outlineLevel="0" collapsed="false">
      <c r="A193" s="14" t="s">
        <v>1304</v>
      </c>
      <c r="B193" s="14" t="s">
        <v>261</v>
      </c>
      <c r="C193" s="14" t="s">
        <v>651</v>
      </c>
      <c r="D193" s="14"/>
      <c r="E193" s="15"/>
      <c r="F193" s="16"/>
      <c r="G193" s="17"/>
      <c r="H193" s="17"/>
    </row>
    <row r="194" customFormat="false" ht="15" hidden="false" customHeight="false" outlineLevel="0" collapsed="false">
      <c r="A194" s="14" t="s">
        <v>889</v>
      </c>
      <c r="B194" s="14" t="s">
        <v>567</v>
      </c>
      <c r="C194" s="14" t="s">
        <v>888</v>
      </c>
      <c r="D194" s="14" t="s">
        <v>1280</v>
      </c>
      <c r="E194" s="15"/>
      <c r="F194" s="16"/>
      <c r="G194" s="17"/>
      <c r="H194" s="17"/>
    </row>
    <row r="195" customFormat="false" ht="15" hidden="false" customHeight="false" outlineLevel="0" collapsed="false">
      <c r="A195" s="14" t="s">
        <v>896</v>
      </c>
      <c r="B195" s="14" t="s">
        <v>567</v>
      </c>
      <c r="C195" s="14" t="s">
        <v>895</v>
      </c>
      <c r="D195" s="14" t="s">
        <v>1280</v>
      </c>
      <c r="E195" s="15"/>
      <c r="F195" s="16"/>
      <c r="G195" s="17"/>
      <c r="H195" s="17"/>
    </row>
    <row r="196" customFormat="false" ht="15" hidden="false" customHeight="false" outlineLevel="0" collapsed="false">
      <c r="A196" s="14" t="s">
        <v>903</v>
      </c>
      <c r="B196" s="14" t="s">
        <v>567</v>
      </c>
      <c r="C196" s="14" t="s">
        <v>902</v>
      </c>
      <c r="D196" s="14" t="s">
        <v>1280</v>
      </c>
      <c r="E196" s="15"/>
      <c r="F196" s="16"/>
      <c r="G196" s="17"/>
      <c r="H196" s="17"/>
    </row>
    <row r="197" customFormat="false" ht="15" hidden="false" customHeight="false" outlineLevel="0" collapsed="false">
      <c r="A197" s="14" t="s">
        <v>659</v>
      </c>
      <c r="B197" s="14" t="s">
        <v>261</v>
      </c>
      <c r="C197" s="14" t="s">
        <v>658</v>
      </c>
      <c r="D197" s="14"/>
      <c r="E197" s="15"/>
      <c r="F197" s="16"/>
      <c r="G197" s="17"/>
      <c r="H197" s="17"/>
    </row>
    <row r="198" customFormat="false" ht="15" hidden="false" customHeight="false" outlineLevel="0" collapsed="false">
      <c r="A198" s="14" t="s">
        <v>1305</v>
      </c>
      <c r="B198" s="14" t="s">
        <v>261</v>
      </c>
      <c r="C198" s="14" t="s">
        <v>658</v>
      </c>
      <c r="D198" s="14"/>
      <c r="E198" s="15"/>
      <c r="F198" s="16"/>
      <c r="G198" s="17"/>
      <c r="H198" s="17"/>
    </row>
    <row r="199" customFormat="false" ht="15" hidden="false" customHeight="false" outlineLevel="0" collapsed="false">
      <c r="A199" s="14" t="s">
        <v>1306</v>
      </c>
      <c r="B199" s="14" t="s">
        <v>261</v>
      </c>
      <c r="C199" s="14" t="s">
        <v>658</v>
      </c>
      <c r="D199" s="14"/>
      <c r="E199" s="15"/>
      <c r="F199" s="16"/>
      <c r="G199" s="17"/>
      <c r="H199" s="17"/>
    </row>
    <row r="200" customFormat="false" ht="15" hidden="false" customHeight="false" outlineLevel="0" collapsed="false">
      <c r="A200" s="14" t="s">
        <v>1307</v>
      </c>
      <c r="B200" s="14" t="s">
        <v>261</v>
      </c>
      <c r="C200" s="14" t="s">
        <v>658</v>
      </c>
      <c r="D200" s="14"/>
      <c r="E200" s="15"/>
      <c r="F200" s="16"/>
      <c r="G200" s="17"/>
      <c r="H200" s="17"/>
    </row>
    <row r="201" customFormat="false" ht="15" hidden="false" customHeight="false" outlineLevel="0" collapsed="false">
      <c r="A201" s="14" t="s">
        <v>909</v>
      </c>
      <c r="B201" s="14" t="s">
        <v>567</v>
      </c>
      <c r="C201" s="14" t="s">
        <v>908</v>
      </c>
      <c r="D201" s="14" t="s">
        <v>1280</v>
      </c>
      <c r="E201" s="15"/>
      <c r="F201" s="16"/>
      <c r="G201" s="17"/>
      <c r="H201" s="17"/>
    </row>
    <row r="202" customFormat="false" ht="15" hidden="false" customHeight="false" outlineLevel="0" collapsed="false">
      <c r="A202" s="14" t="s">
        <v>916</v>
      </c>
      <c r="B202" s="14" t="s">
        <v>567</v>
      </c>
      <c r="C202" s="14" t="s">
        <v>915</v>
      </c>
      <c r="D202" s="14" t="s">
        <v>1280</v>
      </c>
      <c r="E202" s="15"/>
      <c r="F202" s="16"/>
      <c r="G202" s="17"/>
      <c r="H202" s="17"/>
    </row>
    <row r="203" customFormat="false" ht="15" hidden="false" customHeight="false" outlineLevel="0" collapsed="false">
      <c r="A203" s="14" t="s">
        <v>923</v>
      </c>
      <c r="B203" s="14" t="s">
        <v>567</v>
      </c>
      <c r="C203" s="14" t="s">
        <v>922</v>
      </c>
      <c r="D203" s="14" t="s">
        <v>1280</v>
      </c>
      <c r="E203" s="15"/>
      <c r="F203" s="16"/>
      <c r="G203" s="17"/>
      <c r="H203" s="17"/>
    </row>
    <row r="204" customFormat="false" ht="15" hidden="false" customHeight="false" outlineLevel="0" collapsed="false">
      <c r="A204" s="14" t="s">
        <v>666</v>
      </c>
      <c r="B204" s="14" t="s">
        <v>261</v>
      </c>
      <c r="C204" s="14" t="s">
        <v>665</v>
      </c>
      <c r="D204" s="14"/>
      <c r="E204" s="15"/>
      <c r="F204" s="16"/>
      <c r="G204" s="17"/>
      <c r="H204" s="17"/>
    </row>
    <row r="205" customFormat="false" ht="15" hidden="false" customHeight="false" outlineLevel="0" collapsed="false">
      <c r="A205" s="14" t="s">
        <v>1308</v>
      </c>
      <c r="B205" s="14" t="s">
        <v>261</v>
      </c>
      <c r="C205" s="14" t="s">
        <v>665</v>
      </c>
      <c r="D205" s="14"/>
      <c r="E205" s="15"/>
      <c r="F205" s="16"/>
      <c r="G205" s="17"/>
      <c r="H205" s="17"/>
    </row>
    <row r="206" customFormat="false" ht="15" hidden="false" customHeight="false" outlineLevel="0" collapsed="false">
      <c r="A206" s="14" t="s">
        <v>1309</v>
      </c>
      <c r="B206" s="14" t="s">
        <v>261</v>
      </c>
      <c r="C206" s="14" t="s">
        <v>665</v>
      </c>
      <c r="D206" s="14"/>
      <c r="E206" s="15"/>
      <c r="F206" s="16"/>
      <c r="G206" s="17"/>
      <c r="H206" s="17"/>
    </row>
    <row r="207" customFormat="false" ht="15" hidden="false" customHeight="false" outlineLevel="0" collapsed="false">
      <c r="A207" s="14" t="s">
        <v>1310</v>
      </c>
      <c r="B207" s="14" t="s">
        <v>261</v>
      </c>
      <c r="C207" s="14" t="s">
        <v>665</v>
      </c>
      <c r="D207" s="14"/>
      <c r="E207" s="15"/>
      <c r="F207" s="16"/>
      <c r="G207" s="17"/>
      <c r="H207" s="17"/>
    </row>
    <row r="208" customFormat="false" ht="15" hidden="false" customHeight="false" outlineLevel="0" collapsed="false">
      <c r="A208" s="14" t="s">
        <v>930</v>
      </c>
      <c r="B208" s="14" t="s">
        <v>567</v>
      </c>
      <c r="C208" s="14" t="s">
        <v>929</v>
      </c>
      <c r="D208" s="14" t="s">
        <v>1280</v>
      </c>
      <c r="E208" s="15"/>
      <c r="F208" s="16"/>
      <c r="G208" s="17"/>
      <c r="H208" s="17"/>
    </row>
    <row r="209" customFormat="false" ht="15" hidden="false" customHeight="false" outlineLevel="0" collapsed="false">
      <c r="A209" s="14" t="s">
        <v>937</v>
      </c>
      <c r="B209" s="14" t="s">
        <v>567</v>
      </c>
      <c r="C209" s="14" t="s">
        <v>936</v>
      </c>
      <c r="D209" s="14" t="s">
        <v>1280</v>
      </c>
      <c r="E209" s="15"/>
      <c r="F209" s="16"/>
      <c r="G209" s="17"/>
      <c r="H209" s="17"/>
    </row>
    <row r="210" customFormat="false" ht="15" hidden="false" customHeight="false" outlineLevel="0" collapsed="false">
      <c r="A210" s="14" t="s">
        <v>944</v>
      </c>
      <c r="B210" s="14" t="s">
        <v>567</v>
      </c>
      <c r="C210" s="14" t="s">
        <v>943</v>
      </c>
      <c r="D210" s="14" t="s">
        <v>1280</v>
      </c>
      <c r="E210" s="15"/>
      <c r="F210" s="16"/>
      <c r="G210" s="17"/>
      <c r="H210" s="17"/>
    </row>
    <row r="211" customFormat="false" ht="15" hidden="false" customHeight="false" outlineLevel="0" collapsed="false">
      <c r="A211" s="14" t="s">
        <v>672</v>
      </c>
      <c r="B211" s="14" t="s">
        <v>261</v>
      </c>
      <c r="C211" s="14" t="s">
        <v>671</v>
      </c>
      <c r="D211" s="14"/>
      <c r="E211" s="15"/>
      <c r="F211" s="16"/>
      <c r="G211" s="17"/>
      <c r="H211" s="17"/>
    </row>
    <row r="212" customFormat="false" ht="15" hidden="false" customHeight="false" outlineLevel="0" collapsed="false">
      <c r="A212" s="14" t="s">
        <v>1311</v>
      </c>
      <c r="B212" s="14" t="s">
        <v>261</v>
      </c>
      <c r="C212" s="14" t="s">
        <v>671</v>
      </c>
      <c r="D212" s="14"/>
      <c r="E212" s="15"/>
      <c r="F212" s="16"/>
      <c r="G212" s="17"/>
      <c r="H212" s="17"/>
    </row>
    <row r="213" customFormat="false" ht="15" hidden="false" customHeight="false" outlineLevel="0" collapsed="false">
      <c r="A213" s="14" t="s">
        <v>1312</v>
      </c>
      <c r="B213" s="14" t="s">
        <v>261</v>
      </c>
      <c r="C213" s="14" t="s">
        <v>671</v>
      </c>
      <c r="D213" s="14"/>
      <c r="E213" s="15"/>
      <c r="F213" s="16"/>
      <c r="G213" s="17"/>
      <c r="H213" s="17"/>
    </row>
    <row r="214" customFormat="false" ht="15" hidden="false" customHeight="false" outlineLevel="0" collapsed="false">
      <c r="A214" s="14" t="s">
        <v>1313</v>
      </c>
      <c r="B214" s="14" t="s">
        <v>261</v>
      </c>
      <c r="C214" s="14" t="s">
        <v>671</v>
      </c>
      <c r="D214" s="14"/>
      <c r="E214" s="15"/>
      <c r="F214" s="16"/>
      <c r="G214" s="17"/>
      <c r="H214" s="17"/>
    </row>
    <row r="215" customFormat="false" ht="15" hidden="false" customHeight="false" outlineLevel="0" collapsed="false">
      <c r="A215" s="14" t="s">
        <v>950</v>
      </c>
      <c r="B215" s="14" t="s">
        <v>567</v>
      </c>
      <c r="C215" s="14" t="s">
        <v>949</v>
      </c>
      <c r="D215" s="14" t="s">
        <v>1280</v>
      </c>
      <c r="E215" s="15"/>
      <c r="F215" s="16"/>
      <c r="G215" s="17"/>
      <c r="H215" s="17"/>
    </row>
    <row r="216" customFormat="false" ht="15" hidden="false" customHeight="false" outlineLevel="0" collapsed="false">
      <c r="A216" s="14" t="s">
        <v>957</v>
      </c>
      <c r="B216" s="14" t="s">
        <v>567</v>
      </c>
      <c r="C216" s="14" t="s">
        <v>956</v>
      </c>
      <c r="D216" s="14" t="s">
        <v>1280</v>
      </c>
      <c r="E216" s="15"/>
      <c r="F216" s="16"/>
      <c r="G216" s="17"/>
      <c r="H216" s="17"/>
    </row>
    <row r="217" customFormat="false" ht="15" hidden="false" customHeight="false" outlineLevel="0" collapsed="false">
      <c r="A217" s="14" t="s">
        <v>964</v>
      </c>
      <c r="B217" s="14" t="s">
        <v>567</v>
      </c>
      <c r="C217" s="14" t="s">
        <v>963</v>
      </c>
      <c r="D217" s="14" t="s">
        <v>1280</v>
      </c>
      <c r="E217" s="15"/>
      <c r="F217" s="16"/>
      <c r="G217" s="17"/>
      <c r="H217" s="17"/>
    </row>
    <row r="218" customFormat="false" ht="15" hidden="false" customHeight="false" outlineLevel="0" collapsed="false">
      <c r="A218" s="14" t="s">
        <v>678</v>
      </c>
      <c r="B218" s="14" t="s">
        <v>261</v>
      </c>
      <c r="C218" s="14" t="s">
        <v>677</v>
      </c>
      <c r="D218" s="14"/>
      <c r="E218" s="15"/>
      <c r="F218" s="16"/>
      <c r="G218" s="17"/>
      <c r="H218" s="17"/>
    </row>
    <row r="219" customFormat="false" ht="15" hidden="false" customHeight="false" outlineLevel="0" collapsed="false">
      <c r="A219" s="14" t="s">
        <v>1314</v>
      </c>
      <c r="B219" s="14" t="s">
        <v>261</v>
      </c>
      <c r="C219" s="14" t="s">
        <v>677</v>
      </c>
      <c r="D219" s="14"/>
      <c r="E219" s="15"/>
      <c r="F219" s="16"/>
      <c r="G219" s="17"/>
      <c r="H219" s="17"/>
    </row>
    <row r="220" customFormat="false" ht="15" hidden="false" customHeight="false" outlineLevel="0" collapsed="false">
      <c r="A220" s="14" t="s">
        <v>1315</v>
      </c>
      <c r="B220" s="14" t="s">
        <v>261</v>
      </c>
      <c r="C220" s="14" t="s">
        <v>677</v>
      </c>
      <c r="D220" s="14"/>
      <c r="E220" s="15"/>
      <c r="F220" s="16"/>
      <c r="G220" s="17"/>
      <c r="H220" s="17"/>
    </row>
    <row r="221" customFormat="false" ht="15" hidden="false" customHeight="false" outlineLevel="0" collapsed="false">
      <c r="A221" s="14" t="s">
        <v>1316</v>
      </c>
      <c r="B221" s="14" t="s">
        <v>261</v>
      </c>
      <c r="C221" s="14" t="s">
        <v>677</v>
      </c>
      <c r="D221" s="14"/>
      <c r="E221" s="15"/>
      <c r="F221" s="16"/>
      <c r="G221" s="17"/>
      <c r="H221" s="17"/>
    </row>
    <row r="222" customFormat="false" ht="15" hidden="false" customHeight="false" outlineLevel="0" collapsed="false">
      <c r="A222" s="14" t="s">
        <v>971</v>
      </c>
      <c r="B222" s="14" t="s">
        <v>567</v>
      </c>
      <c r="C222" s="14" t="s">
        <v>970</v>
      </c>
      <c r="D222" s="14" t="s">
        <v>1280</v>
      </c>
      <c r="E222" s="15"/>
      <c r="F222" s="16"/>
      <c r="G222" s="17"/>
      <c r="H222" s="17"/>
    </row>
    <row r="223" customFormat="false" ht="15" hidden="false" customHeight="false" outlineLevel="0" collapsed="false">
      <c r="A223" s="14" t="s">
        <v>978</v>
      </c>
      <c r="B223" s="14" t="s">
        <v>567</v>
      </c>
      <c r="C223" s="14" t="s">
        <v>977</v>
      </c>
      <c r="D223" s="14" t="s">
        <v>1280</v>
      </c>
      <c r="E223" s="15"/>
      <c r="F223" s="16"/>
      <c r="G223" s="17"/>
      <c r="H223" s="17"/>
    </row>
    <row r="224" customFormat="false" ht="15" hidden="false" customHeight="false" outlineLevel="0" collapsed="false">
      <c r="A224" s="14" t="s">
        <v>985</v>
      </c>
      <c r="B224" s="14" t="s">
        <v>567</v>
      </c>
      <c r="C224" s="14" t="s">
        <v>984</v>
      </c>
      <c r="D224" s="14" t="s">
        <v>1280</v>
      </c>
      <c r="E224" s="15"/>
      <c r="F224" s="16"/>
      <c r="G224" s="17"/>
      <c r="H224" s="17"/>
    </row>
    <row r="225" customFormat="false" ht="15" hidden="false" customHeight="false" outlineLevel="0" collapsed="false">
      <c r="A225" s="14" t="s">
        <v>317</v>
      </c>
      <c r="B225" s="14" t="s">
        <v>315</v>
      </c>
      <c r="C225" s="14" t="s">
        <v>316</v>
      </c>
      <c r="D225" s="14"/>
      <c r="E225" s="15"/>
      <c r="F225" s="16"/>
      <c r="G225" s="17"/>
      <c r="H225" s="17"/>
    </row>
    <row r="226" customFormat="false" ht="15" hidden="false" customHeight="false" outlineLevel="0" collapsed="false">
      <c r="A226" s="14" t="s">
        <v>1317</v>
      </c>
      <c r="B226" s="14" t="s">
        <v>315</v>
      </c>
      <c r="C226" s="14" t="s">
        <v>316</v>
      </c>
      <c r="D226" s="14"/>
      <c r="E226" s="15"/>
      <c r="F226" s="16"/>
      <c r="G226" s="17"/>
      <c r="H226" s="17"/>
    </row>
    <row r="227" customFormat="false" ht="15" hidden="false" customHeight="false" outlineLevel="0" collapsed="false">
      <c r="A227" s="14" t="s">
        <v>1318</v>
      </c>
      <c r="B227" s="14" t="s">
        <v>315</v>
      </c>
      <c r="C227" s="14" t="s">
        <v>316</v>
      </c>
      <c r="D227" s="14"/>
      <c r="E227" s="15"/>
      <c r="F227" s="16"/>
      <c r="G227" s="17"/>
      <c r="H227" s="17"/>
    </row>
    <row r="228" customFormat="false" ht="15" hidden="false" customHeight="false" outlineLevel="0" collapsed="false">
      <c r="A228" s="14" t="s">
        <v>542</v>
      </c>
      <c r="B228" s="14" t="s">
        <v>315</v>
      </c>
      <c r="C228" s="14" t="s">
        <v>541</v>
      </c>
      <c r="D228" s="14"/>
      <c r="E228" s="15"/>
      <c r="F228" s="16"/>
      <c r="G228" s="17"/>
      <c r="H228" s="17"/>
    </row>
    <row r="229" customFormat="false" ht="15" hidden="false" customHeight="false" outlineLevel="0" collapsed="false">
      <c r="A229" s="14" t="s">
        <v>543</v>
      </c>
      <c r="B229" s="14" t="s">
        <v>315</v>
      </c>
      <c r="C229" s="14" t="s">
        <v>541</v>
      </c>
      <c r="D229" s="14"/>
      <c r="E229" s="15"/>
      <c r="F229" s="16"/>
      <c r="G229" s="17"/>
      <c r="H229" s="17"/>
    </row>
    <row r="230" customFormat="false" ht="15" hidden="false" customHeight="false" outlineLevel="0" collapsed="false">
      <c r="A230" s="14" t="s">
        <v>547</v>
      </c>
      <c r="B230" s="14" t="s">
        <v>315</v>
      </c>
      <c r="C230" s="14" t="s">
        <v>546</v>
      </c>
      <c r="D230" s="14"/>
      <c r="E230" s="15"/>
      <c r="F230" s="16"/>
      <c r="G230" s="17"/>
      <c r="H230" s="17"/>
    </row>
    <row r="231" customFormat="false" ht="15" hidden="false" customHeight="false" outlineLevel="0" collapsed="false">
      <c r="A231" s="14" t="s">
        <v>1319</v>
      </c>
      <c r="B231" s="14" t="s">
        <v>315</v>
      </c>
      <c r="C231" s="14" t="s">
        <v>546</v>
      </c>
      <c r="D231" s="14"/>
      <c r="E231" s="15"/>
      <c r="F231" s="16"/>
      <c r="G231" s="17"/>
      <c r="H231" s="17"/>
    </row>
    <row r="232" customFormat="false" ht="15" hidden="false" customHeight="false" outlineLevel="0" collapsed="false">
      <c r="A232" s="14" t="s">
        <v>1320</v>
      </c>
      <c r="B232" s="14" t="s">
        <v>315</v>
      </c>
      <c r="C232" s="14" t="s">
        <v>546</v>
      </c>
      <c r="D232" s="14"/>
      <c r="E232" s="15"/>
      <c r="F232" s="16"/>
      <c r="G232" s="17"/>
      <c r="H232" s="17"/>
    </row>
    <row r="233" customFormat="false" ht="15" hidden="false" customHeight="false" outlineLevel="0" collapsed="false">
      <c r="A233" s="14" t="s">
        <v>552</v>
      </c>
      <c r="B233" s="14" t="s">
        <v>315</v>
      </c>
      <c r="C233" s="14" t="s">
        <v>551</v>
      </c>
      <c r="D233" s="14"/>
      <c r="E233" s="15"/>
      <c r="F233" s="16"/>
      <c r="G233" s="17"/>
      <c r="H233" s="17"/>
    </row>
    <row r="234" customFormat="false" ht="15" hidden="false" customHeight="false" outlineLevel="0" collapsed="false">
      <c r="A234" s="14" t="s">
        <v>553</v>
      </c>
      <c r="B234" s="14" t="s">
        <v>315</v>
      </c>
      <c r="C234" s="14" t="s">
        <v>551</v>
      </c>
      <c r="D234" s="14"/>
      <c r="E234" s="15"/>
      <c r="F234" s="16"/>
      <c r="G234" s="17"/>
      <c r="H234" s="17"/>
    </row>
    <row r="235" customFormat="false" ht="15" hidden="false" customHeight="false" outlineLevel="0" collapsed="false">
      <c r="A235" s="14" t="s">
        <v>558</v>
      </c>
      <c r="B235" s="14" t="s">
        <v>315</v>
      </c>
      <c r="C235" s="14" t="s">
        <v>557</v>
      </c>
      <c r="D235" s="14"/>
      <c r="E235" s="15"/>
      <c r="F235" s="16"/>
      <c r="G235" s="17"/>
      <c r="H235" s="17"/>
    </row>
    <row r="236" customFormat="false" ht="15" hidden="false" customHeight="false" outlineLevel="0" collapsed="false">
      <c r="A236" s="14" t="s">
        <v>1321</v>
      </c>
      <c r="B236" s="14" t="s">
        <v>315</v>
      </c>
      <c r="C236" s="14" t="s">
        <v>557</v>
      </c>
      <c r="D236" s="14"/>
      <c r="E236" s="15"/>
      <c r="F236" s="16"/>
      <c r="G236" s="17"/>
      <c r="H236" s="17"/>
    </row>
    <row r="237" customFormat="false" ht="15" hidden="false" customHeight="false" outlineLevel="0" collapsed="false">
      <c r="A237" s="14" t="s">
        <v>1322</v>
      </c>
      <c r="B237" s="14" t="s">
        <v>315</v>
      </c>
      <c r="C237" s="14" t="s">
        <v>557</v>
      </c>
      <c r="D237" s="14"/>
      <c r="E237" s="15"/>
      <c r="F237" s="16"/>
      <c r="G237" s="17"/>
      <c r="H237" s="17"/>
    </row>
    <row r="238" customFormat="false" ht="15" hidden="false" customHeight="false" outlineLevel="0" collapsed="false">
      <c r="A238" s="14" t="s">
        <v>563</v>
      </c>
      <c r="B238" s="14" t="s">
        <v>315</v>
      </c>
      <c r="C238" s="14" t="s">
        <v>562</v>
      </c>
      <c r="D238" s="14"/>
      <c r="E238" s="15"/>
      <c r="F238" s="16"/>
      <c r="G238" s="17"/>
      <c r="H238" s="17"/>
    </row>
    <row r="239" customFormat="false" ht="15" hidden="false" customHeight="false" outlineLevel="0" collapsed="false">
      <c r="A239" s="14" t="s">
        <v>1323</v>
      </c>
      <c r="B239" s="14" t="s">
        <v>315</v>
      </c>
      <c r="C239" s="14" t="s">
        <v>562</v>
      </c>
      <c r="D239" s="14"/>
      <c r="E239" s="15"/>
      <c r="F239" s="16"/>
      <c r="G239" s="17"/>
      <c r="H239" s="17"/>
    </row>
    <row r="240" customFormat="false" ht="15" hidden="false" customHeight="false" outlineLevel="0" collapsed="false">
      <c r="A240" s="14" t="s">
        <v>1324</v>
      </c>
      <c r="B240" s="14" t="s">
        <v>315</v>
      </c>
      <c r="C240" s="14" t="s">
        <v>562</v>
      </c>
      <c r="D240" s="14"/>
      <c r="E240" s="15"/>
      <c r="F240" s="16"/>
      <c r="G240" s="17"/>
      <c r="H240" s="17"/>
    </row>
    <row r="241" customFormat="false" ht="15" hidden="false" customHeight="false" outlineLevel="0" collapsed="false">
      <c r="A241" s="14" t="s">
        <v>690</v>
      </c>
      <c r="B241" s="14" t="s">
        <v>315</v>
      </c>
      <c r="C241" s="14" t="s">
        <v>689</v>
      </c>
      <c r="D241" s="14"/>
      <c r="E241" s="15"/>
      <c r="F241" s="16"/>
      <c r="G241" s="17"/>
      <c r="H241" s="17"/>
    </row>
    <row r="242" customFormat="false" ht="15" hidden="false" customHeight="false" outlineLevel="0" collapsed="false">
      <c r="A242" s="14" t="s">
        <v>691</v>
      </c>
      <c r="B242" s="14" t="s">
        <v>315</v>
      </c>
      <c r="C242" s="14" t="s">
        <v>689</v>
      </c>
      <c r="D242" s="14"/>
      <c r="E242" s="15"/>
      <c r="F242" s="16"/>
      <c r="G242" s="17"/>
      <c r="H242" s="17"/>
    </row>
    <row r="243" customFormat="false" ht="15" hidden="false" customHeight="false" outlineLevel="0" collapsed="false">
      <c r="A243" s="14" t="s">
        <v>695</v>
      </c>
      <c r="B243" s="14" t="s">
        <v>315</v>
      </c>
      <c r="C243" s="14" t="s">
        <v>694</v>
      </c>
      <c r="D243" s="14"/>
      <c r="E243" s="15"/>
      <c r="F243" s="16"/>
      <c r="G243" s="17"/>
      <c r="H243" s="17"/>
    </row>
    <row r="244" customFormat="false" ht="15" hidden="false" customHeight="false" outlineLevel="0" collapsed="false">
      <c r="A244" s="14" t="s">
        <v>1325</v>
      </c>
      <c r="B244" s="14" t="s">
        <v>315</v>
      </c>
      <c r="C244" s="14" t="s">
        <v>694</v>
      </c>
      <c r="D244" s="14"/>
      <c r="E244" s="15"/>
      <c r="F244" s="16"/>
      <c r="G244" s="17"/>
      <c r="H244" s="17"/>
    </row>
    <row r="245" customFormat="false" ht="15" hidden="false" customHeight="false" outlineLevel="0" collapsed="false">
      <c r="A245" s="14" t="s">
        <v>1326</v>
      </c>
      <c r="B245" s="14" t="s">
        <v>315</v>
      </c>
      <c r="C245" s="14" t="s">
        <v>694</v>
      </c>
      <c r="D245" s="14"/>
      <c r="E245" s="15"/>
      <c r="F245" s="16"/>
      <c r="G245" s="17"/>
      <c r="H245" s="17"/>
    </row>
    <row r="246" customFormat="false" ht="15" hidden="false" customHeight="false" outlineLevel="0" collapsed="false">
      <c r="A246" s="14" t="s">
        <v>700</v>
      </c>
      <c r="B246" s="14" t="s">
        <v>315</v>
      </c>
      <c r="C246" s="14" t="s">
        <v>699</v>
      </c>
      <c r="D246" s="14"/>
      <c r="E246" s="15"/>
      <c r="F246" s="16"/>
      <c r="G246" s="17"/>
      <c r="H246" s="17"/>
    </row>
    <row r="247" customFormat="false" ht="15" hidden="false" customHeight="false" outlineLevel="0" collapsed="false">
      <c r="A247" s="14" t="s">
        <v>701</v>
      </c>
      <c r="B247" s="14" t="s">
        <v>315</v>
      </c>
      <c r="C247" s="14" t="s">
        <v>699</v>
      </c>
      <c r="D247" s="14"/>
      <c r="E247" s="15"/>
      <c r="F247" s="16"/>
      <c r="G247" s="17"/>
      <c r="H247" s="17"/>
    </row>
    <row r="248" customFormat="false" ht="15" hidden="false" customHeight="false" outlineLevel="0" collapsed="false">
      <c r="A248" s="14" t="s">
        <v>705</v>
      </c>
      <c r="B248" s="14" t="s">
        <v>315</v>
      </c>
      <c r="C248" s="14" t="s">
        <v>704</v>
      </c>
      <c r="D248" s="14"/>
      <c r="E248" s="15"/>
      <c r="F248" s="16"/>
      <c r="G248" s="17"/>
      <c r="H248" s="17"/>
    </row>
    <row r="249" customFormat="false" ht="15" hidden="false" customHeight="false" outlineLevel="0" collapsed="false">
      <c r="A249" s="14" t="s">
        <v>706</v>
      </c>
      <c r="B249" s="14" t="s">
        <v>315</v>
      </c>
      <c r="C249" s="14" t="s">
        <v>704</v>
      </c>
      <c r="D249" s="14"/>
      <c r="E249" s="15"/>
      <c r="F249" s="16"/>
      <c r="G249" s="17"/>
      <c r="H249" s="17"/>
    </row>
    <row r="250" customFormat="false" ht="15" hidden="false" customHeight="false" outlineLevel="0" collapsed="false">
      <c r="A250" s="14" t="s">
        <v>710</v>
      </c>
      <c r="B250" s="14" t="s">
        <v>315</v>
      </c>
      <c r="C250" s="14" t="s">
        <v>709</v>
      </c>
      <c r="D250" s="14"/>
      <c r="E250" s="15"/>
      <c r="F250" s="16"/>
      <c r="G250" s="17"/>
      <c r="H250" s="17"/>
    </row>
    <row r="251" customFormat="false" ht="15" hidden="false" customHeight="false" outlineLevel="0" collapsed="false">
      <c r="A251" s="14" t="s">
        <v>711</v>
      </c>
      <c r="B251" s="14" t="s">
        <v>315</v>
      </c>
      <c r="C251" s="14" t="s">
        <v>709</v>
      </c>
      <c r="D251" s="14"/>
      <c r="E251" s="15"/>
      <c r="F251" s="16"/>
      <c r="G251" s="17"/>
      <c r="H251" s="17"/>
    </row>
    <row r="252" customFormat="false" ht="15" hidden="false" customHeight="false" outlineLevel="0" collapsed="false">
      <c r="A252" s="14" t="s">
        <v>715</v>
      </c>
      <c r="B252" s="14" t="s">
        <v>315</v>
      </c>
      <c r="C252" s="14" t="s">
        <v>714</v>
      </c>
      <c r="D252" s="14"/>
      <c r="E252" s="15"/>
      <c r="F252" s="16"/>
      <c r="G252" s="17"/>
      <c r="H252" s="17"/>
    </row>
    <row r="253" customFormat="false" ht="15" hidden="false" customHeight="false" outlineLevel="0" collapsed="false">
      <c r="A253" s="14" t="s">
        <v>716</v>
      </c>
      <c r="B253" s="14" t="s">
        <v>315</v>
      </c>
      <c r="C253" s="14" t="s">
        <v>714</v>
      </c>
      <c r="D253" s="14"/>
      <c r="E253" s="15"/>
      <c r="F253" s="16"/>
      <c r="G253" s="17"/>
      <c r="H253" s="17"/>
    </row>
    <row r="254" customFormat="false" ht="15" hidden="false" customHeight="false" outlineLevel="0" collapsed="false">
      <c r="A254" s="14" t="s">
        <v>720</v>
      </c>
      <c r="B254" s="14" t="s">
        <v>315</v>
      </c>
      <c r="C254" s="14" t="s">
        <v>719</v>
      </c>
      <c r="D254" s="14"/>
      <c r="E254" s="15"/>
      <c r="F254" s="16"/>
      <c r="G254" s="17"/>
      <c r="H254" s="17"/>
    </row>
    <row r="255" customFormat="false" ht="15" hidden="false" customHeight="false" outlineLevel="0" collapsed="false">
      <c r="A255" s="14" t="s">
        <v>721</v>
      </c>
      <c r="B255" s="14" t="s">
        <v>315</v>
      </c>
      <c r="C255" s="14" t="s">
        <v>719</v>
      </c>
      <c r="D255" s="14"/>
      <c r="E255" s="15"/>
      <c r="F255" s="16"/>
      <c r="G255" s="17"/>
      <c r="H255" s="17"/>
    </row>
    <row r="256" customFormat="false" ht="15" hidden="false" customHeight="false" outlineLevel="0" collapsed="false">
      <c r="A256" s="14" t="s">
        <v>725</v>
      </c>
      <c r="B256" s="14" t="s">
        <v>315</v>
      </c>
      <c r="C256" s="14" t="s">
        <v>724</v>
      </c>
      <c r="D256" s="14"/>
      <c r="E256" s="15"/>
      <c r="F256" s="16"/>
      <c r="G256" s="17"/>
      <c r="H256" s="17"/>
    </row>
    <row r="257" customFormat="false" ht="15" hidden="false" customHeight="false" outlineLevel="0" collapsed="false">
      <c r="A257" s="14" t="s">
        <v>726</v>
      </c>
      <c r="B257" s="14" t="s">
        <v>315</v>
      </c>
      <c r="C257" s="14" t="s">
        <v>724</v>
      </c>
      <c r="D257" s="14"/>
      <c r="E257" s="15"/>
      <c r="F257" s="16"/>
      <c r="G257" s="17"/>
      <c r="H257" s="17"/>
    </row>
  </sheetData>
  <autoFilter ref="A1:H2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6"/>
    <col collapsed="false" customWidth="true" hidden="false" outlineLevel="0" max="5" min="5" style="0" width="12"/>
  </cols>
  <sheetData>
    <row r="1" customFormat="false" ht="30" hidden="false" customHeight="true" outlineLevel="0" collapsed="false">
      <c r="A1" s="5" t="s">
        <v>1327</v>
      </c>
      <c r="B1" s="5" t="s">
        <v>1328</v>
      </c>
      <c r="C1" s="5" t="s">
        <v>1329</v>
      </c>
      <c r="D1" s="5" t="s">
        <v>1330</v>
      </c>
      <c r="E1" s="5" t="s">
        <v>87</v>
      </c>
    </row>
    <row r="2" customFormat="false" ht="35.05" hidden="false" customHeight="false" outlineLevel="0" collapsed="false">
      <c r="A2" s="6" t="n">
        <v>1</v>
      </c>
      <c r="B2" s="6" t="s">
        <v>1331</v>
      </c>
      <c r="C2" s="6" t="s">
        <v>1332</v>
      </c>
      <c r="D2" s="6" t="s">
        <v>1333</v>
      </c>
      <c r="E2" s="8"/>
    </row>
    <row r="3" customFormat="false" ht="23.85" hidden="false" customHeight="false" outlineLevel="0" collapsed="false">
      <c r="A3" s="6" t="n">
        <v>2</v>
      </c>
      <c r="B3" s="6" t="s">
        <v>1334</v>
      </c>
      <c r="C3" s="6" t="s">
        <v>1335</v>
      </c>
      <c r="D3" s="6" t="s">
        <v>1336</v>
      </c>
      <c r="E3" s="8"/>
    </row>
    <row r="4" customFormat="false" ht="15" hidden="false" customHeight="false" outlineLevel="0" collapsed="false">
      <c r="A4" s="6" t="n">
        <v>3</v>
      </c>
      <c r="B4" s="6" t="s">
        <v>1337</v>
      </c>
      <c r="C4" s="6" t="s">
        <v>1338</v>
      </c>
      <c r="D4" s="6" t="s">
        <v>1339</v>
      </c>
      <c r="E4" s="8"/>
    </row>
    <row r="5" customFormat="false" ht="23.85" hidden="false" customHeight="false" outlineLevel="0" collapsed="false">
      <c r="A5" s="6" t="n">
        <v>4</v>
      </c>
      <c r="B5" s="6" t="s">
        <v>1340</v>
      </c>
      <c r="C5" s="6" t="s">
        <v>1341</v>
      </c>
      <c r="D5" s="6" t="s">
        <v>1342</v>
      </c>
      <c r="E5" s="8"/>
    </row>
    <row r="6" customFormat="false" ht="15" hidden="false" customHeight="false" outlineLevel="0" collapsed="false">
      <c r="A6" s="6" t="n">
        <v>5</v>
      </c>
      <c r="B6" s="6" t="s">
        <v>1343</v>
      </c>
      <c r="C6" s="6" t="s">
        <v>1344</v>
      </c>
      <c r="D6" s="6" t="s">
        <v>1345</v>
      </c>
      <c r="E6" s="8"/>
    </row>
    <row r="7" customFormat="false" ht="23.85" hidden="false" customHeight="false" outlineLevel="0" collapsed="false">
      <c r="A7" s="6" t="n">
        <v>6</v>
      </c>
      <c r="B7" s="6" t="s">
        <v>1346</v>
      </c>
      <c r="C7" s="6" t="s">
        <v>1347</v>
      </c>
      <c r="D7" s="6" t="s">
        <v>1348</v>
      </c>
      <c r="E7" s="8"/>
    </row>
    <row r="8" customFormat="false" ht="15" hidden="false" customHeight="false" outlineLevel="0" collapsed="false">
      <c r="A8" s="6" t="n">
        <v>7</v>
      </c>
      <c r="B8" s="6" t="s">
        <v>1349</v>
      </c>
      <c r="C8" s="6" t="s">
        <v>1350</v>
      </c>
      <c r="D8" s="6" t="s">
        <v>1351</v>
      </c>
      <c r="E8" s="8"/>
    </row>
    <row r="9" customFormat="false" ht="23.85" hidden="false" customHeight="false" outlineLevel="0" collapsed="false">
      <c r="A9" s="6" t="n">
        <v>8</v>
      </c>
      <c r="B9" s="6" t="s">
        <v>1352</v>
      </c>
      <c r="C9" s="6" t="s">
        <v>1353</v>
      </c>
      <c r="D9" s="6" t="s">
        <v>1354</v>
      </c>
      <c r="E9" s="8"/>
    </row>
    <row r="10" customFormat="false" ht="15" hidden="false" customHeight="false" outlineLevel="0" collapsed="false">
      <c r="A10" s="6" t="n">
        <v>9</v>
      </c>
      <c r="B10" s="6" t="s">
        <v>1355</v>
      </c>
      <c r="C10" s="6" t="s">
        <v>1356</v>
      </c>
      <c r="D10" s="6" t="s">
        <v>1357</v>
      </c>
      <c r="E10" s="8"/>
    </row>
    <row r="11" customFormat="false" ht="15" hidden="false" customHeight="false" outlineLevel="0" collapsed="false">
      <c r="A11" s="6" t="n">
        <v>10</v>
      </c>
      <c r="B11" s="6" t="s">
        <v>1358</v>
      </c>
      <c r="C11" s="6" t="s">
        <v>1359</v>
      </c>
      <c r="D11" s="6" t="s">
        <v>1360</v>
      </c>
      <c r="E11" s="8"/>
    </row>
    <row r="12" customFormat="false" ht="15" hidden="false" customHeight="false" outlineLevel="0" collapsed="false">
      <c r="A12" s="6" t="n">
        <v>11</v>
      </c>
      <c r="B12" s="6" t="s">
        <v>1361</v>
      </c>
      <c r="C12" s="6" t="s">
        <v>1362</v>
      </c>
      <c r="D12" s="6" t="s">
        <v>1363</v>
      </c>
      <c r="E12" s="8"/>
    </row>
    <row r="13" customFormat="false" ht="15" hidden="false" customHeight="false" outlineLevel="0" collapsed="false">
      <c r="A13" s="6" t="n">
        <v>12</v>
      </c>
      <c r="B13" s="6" t="s">
        <v>1364</v>
      </c>
      <c r="C13" s="6" t="s">
        <v>1365</v>
      </c>
      <c r="D13" s="6" t="s">
        <v>1366</v>
      </c>
      <c r="E13" s="8"/>
    </row>
    <row r="14" customFormat="false" ht="57.45" hidden="false" customHeight="false" outlineLevel="0" collapsed="false">
      <c r="A14" s="6" t="n">
        <v>13</v>
      </c>
      <c r="B14" s="6" t="s">
        <v>1367</v>
      </c>
      <c r="C14" s="6" t="s">
        <v>1368</v>
      </c>
      <c r="D14" s="6" t="s">
        <v>1369</v>
      </c>
      <c r="E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8" min="3" style="0" width="11"/>
  </cols>
  <sheetData>
    <row r="1" customFormat="false" ht="30" hidden="false" customHeight="true" outlineLevel="0" collapsed="false">
      <c r="A1" s="5" t="s">
        <v>22</v>
      </c>
      <c r="B1" s="5" t="s">
        <v>1370</v>
      </c>
      <c r="C1" s="5" t="s">
        <v>1371</v>
      </c>
      <c r="D1" s="5" t="s">
        <v>1372</v>
      </c>
      <c r="E1" s="5" t="s">
        <v>1373</v>
      </c>
      <c r="F1" s="5" t="s">
        <v>1374</v>
      </c>
      <c r="G1" s="5" t="s">
        <v>1375</v>
      </c>
      <c r="H1" s="5" t="s">
        <v>1376</v>
      </c>
    </row>
    <row r="2" customFormat="false" ht="15" hidden="false" customHeight="false" outlineLevel="0" collapsed="false">
      <c r="A2" s="6" t="n">
        <v>1</v>
      </c>
      <c r="B2" s="6" t="s">
        <v>1377</v>
      </c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6" t="n">
        <v>2</v>
      </c>
      <c r="B3" s="6" t="s">
        <v>1378</v>
      </c>
      <c r="C3" s="18"/>
      <c r="D3" s="18"/>
      <c r="E3" s="18"/>
      <c r="F3" s="18"/>
      <c r="G3" s="18"/>
      <c r="H3" s="18"/>
    </row>
    <row r="4" customFormat="false" ht="15" hidden="false" customHeight="false" outlineLevel="0" collapsed="false">
      <c r="A4" s="6" t="n">
        <v>3</v>
      </c>
      <c r="B4" s="6" t="s">
        <v>1379</v>
      </c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6" t="n">
        <v>4</v>
      </c>
      <c r="B5" s="6" t="s">
        <v>1380</v>
      </c>
      <c r="C5" s="18"/>
      <c r="D5" s="18"/>
      <c r="E5" s="18"/>
      <c r="F5" s="18"/>
      <c r="G5" s="18"/>
      <c r="H5" s="18"/>
    </row>
    <row r="6" customFormat="false" ht="15" hidden="false" customHeight="false" outlineLevel="0" collapsed="false">
      <c r="A6" s="6" t="n">
        <v>5</v>
      </c>
      <c r="B6" s="6" t="s">
        <v>1381</v>
      </c>
      <c r="C6" s="18"/>
      <c r="D6" s="18"/>
      <c r="E6" s="18"/>
      <c r="F6" s="18"/>
      <c r="G6" s="18"/>
      <c r="H6" s="18"/>
    </row>
    <row r="7" customFormat="false" ht="15" hidden="false" customHeight="false" outlineLevel="0" collapsed="false">
      <c r="A7" s="6" t="n">
        <v>6</v>
      </c>
      <c r="B7" s="6" t="s">
        <v>1382</v>
      </c>
      <c r="C7" s="18"/>
      <c r="D7" s="18"/>
      <c r="E7" s="18"/>
      <c r="F7" s="18"/>
      <c r="G7" s="18"/>
      <c r="H7" s="18"/>
    </row>
    <row r="8" customFormat="false" ht="15" hidden="false" customHeight="false" outlineLevel="0" collapsed="false">
      <c r="A8" s="6" t="n">
        <v>7</v>
      </c>
      <c r="B8" s="6" t="s">
        <v>1383</v>
      </c>
      <c r="C8" s="18"/>
      <c r="D8" s="18"/>
      <c r="E8" s="18"/>
      <c r="F8" s="18"/>
      <c r="G8" s="18"/>
      <c r="H8" s="18"/>
    </row>
    <row r="9" customFormat="false" ht="15" hidden="false" customHeight="false" outlineLevel="0" collapsed="false">
      <c r="A9" s="6" t="n">
        <v>8</v>
      </c>
      <c r="B9" s="6" t="s">
        <v>1384</v>
      </c>
      <c r="C9" s="18"/>
      <c r="D9" s="18"/>
      <c r="E9" s="18"/>
      <c r="F9" s="18"/>
      <c r="G9" s="18"/>
      <c r="H9" s="18"/>
    </row>
    <row r="10" customFormat="false" ht="15" hidden="false" customHeight="false" outlineLevel="0" collapsed="false">
      <c r="A10" s="6" t="n">
        <v>9</v>
      </c>
      <c r="B10" s="6" t="s">
        <v>1385</v>
      </c>
      <c r="C10" s="18"/>
      <c r="D10" s="18"/>
      <c r="E10" s="18"/>
      <c r="F10" s="18"/>
      <c r="G10" s="18"/>
      <c r="H10" s="18"/>
    </row>
    <row r="11" customFormat="false" ht="15" hidden="false" customHeight="false" outlineLevel="0" collapsed="false">
      <c r="A11" s="6" t="n">
        <v>10</v>
      </c>
      <c r="B11" s="6" t="s">
        <v>1386</v>
      </c>
      <c r="C11" s="18"/>
      <c r="D11" s="18"/>
      <c r="E11" s="18"/>
      <c r="F11" s="18"/>
      <c r="G11" s="18"/>
      <c r="H11" s="18"/>
    </row>
    <row r="12" customFormat="false" ht="15" hidden="false" customHeight="false" outlineLevel="0" collapsed="false">
      <c r="A12" s="6" t="n">
        <v>11</v>
      </c>
      <c r="B12" s="6" t="s">
        <v>1387</v>
      </c>
      <c r="C12" s="18"/>
      <c r="D12" s="18"/>
      <c r="E12" s="18"/>
      <c r="F12" s="18"/>
      <c r="G12" s="18"/>
      <c r="H12" s="18"/>
    </row>
    <row r="13" customFormat="false" ht="15" hidden="false" customHeight="false" outlineLevel="0" collapsed="false">
      <c r="A13" s="6" t="n">
        <v>12</v>
      </c>
      <c r="B13" s="6" t="s">
        <v>1388</v>
      </c>
      <c r="C13" s="18"/>
      <c r="D13" s="18"/>
      <c r="E13" s="18"/>
      <c r="F13" s="18"/>
      <c r="G13" s="18"/>
      <c r="H13" s="18"/>
    </row>
    <row r="14" customFormat="false" ht="15" hidden="false" customHeight="false" outlineLevel="0" collapsed="false">
      <c r="A14" s="6" t="n">
        <v>13</v>
      </c>
      <c r="B14" s="6" t="s">
        <v>1389</v>
      </c>
      <c r="C14" s="18"/>
      <c r="D14" s="18"/>
      <c r="E14" s="18"/>
      <c r="F14" s="18"/>
      <c r="G14" s="18"/>
      <c r="H14" s="18"/>
    </row>
    <row r="15" customFormat="false" ht="15" hidden="false" customHeight="false" outlineLevel="0" collapsed="false">
      <c r="A15" s="6" t="n">
        <v>14</v>
      </c>
      <c r="B15" s="6" t="s">
        <v>1390</v>
      </c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6" t="n">
        <v>15</v>
      </c>
      <c r="B16" s="6" t="s">
        <v>1391</v>
      </c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B17" s="11" t="s">
        <v>1392</v>
      </c>
      <c r="C17" s="11" t="n">
        <f aca="false">SUM(C2:C16)</f>
        <v>0</v>
      </c>
      <c r="D17" s="11" t="n">
        <f aca="false">SUM(D2:D16)</f>
        <v>0</v>
      </c>
      <c r="E17" s="11" t="n">
        <f aca="false">SUM(E2:E16)</f>
        <v>0</v>
      </c>
      <c r="F17" s="11" t="n">
        <f aca="false">SUM(F2:F16)</f>
        <v>0</v>
      </c>
      <c r="G17" s="11" t="n">
        <f aca="false">SUM(G2:G16)</f>
        <v>0</v>
      </c>
      <c r="H17" s="11" t="n">
        <f aca="false">SUM(H2:H16)</f>
        <v>0</v>
      </c>
    </row>
  </sheetData>
  <dataValidations count="1">
    <dataValidation allowBlank="false" errorStyle="stop" operator="between" showDropDown="false" showErrorMessage="false" showInputMessage="false" sqref="C2:H16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5" t="s">
        <v>1393</v>
      </c>
      <c r="B1" s="5" t="s">
        <v>1394</v>
      </c>
      <c r="C1" s="5" t="s">
        <v>1395</v>
      </c>
      <c r="D1" s="5" t="s">
        <v>1396</v>
      </c>
    </row>
    <row r="2" customFormat="false" ht="23.85" hidden="false" customHeight="false" outlineLevel="0" collapsed="false">
      <c r="A2" s="6" t="s">
        <v>1397</v>
      </c>
      <c r="B2" s="6" t="s">
        <v>1398</v>
      </c>
      <c r="C2" s="6" t="s">
        <v>1399</v>
      </c>
      <c r="D2" s="6" t="s">
        <v>1400</v>
      </c>
    </row>
    <row r="3" customFormat="false" ht="23.85" hidden="false" customHeight="false" outlineLevel="0" collapsed="false">
      <c r="A3" s="6" t="s">
        <v>1401</v>
      </c>
      <c r="B3" s="6" t="s">
        <v>1398</v>
      </c>
      <c r="C3" s="6" t="s">
        <v>1402</v>
      </c>
      <c r="D3" s="6" t="s">
        <v>1403</v>
      </c>
    </row>
    <row r="4" customFormat="false" ht="23.85" hidden="false" customHeight="false" outlineLevel="0" collapsed="false">
      <c r="A4" s="6" t="s">
        <v>1404</v>
      </c>
      <c r="B4" s="6" t="s">
        <v>1398</v>
      </c>
      <c r="C4" s="6" t="s">
        <v>1405</v>
      </c>
      <c r="D4" s="6" t="s">
        <v>1406</v>
      </c>
    </row>
    <row r="5" customFormat="false" ht="23.85" hidden="false" customHeight="false" outlineLevel="0" collapsed="false">
      <c r="A5" s="6" t="s">
        <v>1407</v>
      </c>
      <c r="B5" s="6" t="s">
        <v>1398</v>
      </c>
      <c r="C5" s="6" t="s">
        <v>1408</v>
      </c>
      <c r="D5" s="6" t="s">
        <v>1409</v>
      </c>
    </row>
    <row r="6" customFormat="false" ht="15" hidden="false" customHeight="false" outlineLevel="0" collapsed="false">
      <c r="A6" s="6" t="s">
        <v>1410</v>
      </c>
      <c r="B6" s="6" t="s">
        <v>131</v>
      </c>
      <c r="C6" s="6" t="s">
        <v>1411</v>
      </c>
      <c r="D6" s="6" t="s">
        <v>1412</v>
      </c>
    </row>
    <row r="7" customFormat="false" ht="15" hidden="false" customHeight="false" outlineLevel="0" collapsed="false">
      <c r="A7" s="6" t="s">
        <v>1410</v>
      </c>
      <c r="B7" s="6" t="s">
        <v>131</v>
      </c>
      <c r="C7" s="6" t="s">
        <v>1413</v>
      </c>
      <c r="D7" s="6" t="s">
        <v>1414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2026-10-09T13:58:21Z</dcterms:created>
  <dc:creator>openpyxl</dc:creator>
  <dc:description/>
  <dc:language>en-US</dc:language>
  <cp:lastModifiedBy/>
  <dcterms:modified xsi:type="dcterms:W3CDTF">2026-10-09T13:58:22Z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